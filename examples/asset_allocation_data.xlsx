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e5\SynoCome\AVerley\INVESTISSEMENTS\TRAVAUX\ALLOCATION ACTIFS\PYTHON\Asset Allocation Plot\"/>
    </mc:Choice>
  </mc:AlternateContent>
  <xr:revisionPtr revIDLastSave="0" documentId="13_ncr:1_{935F7E38-C8E8-431D-84E4-AF7B47DF97F0}" xr6:coauthVersionLast="47" xr6:coauthVersionMax="47" xr10:uidLastSave="{00000000-0000-0000-0000-000000000000}"/>
  <bookViews>
    <workbookView xWindow="2955" yWindow="1845" windowWidth="21480" windowHeight="10605" xr2:uid="{C0D365D5-9EB1-40AA-BF06-1F1B312D0FAC}"/>
  </bookViews>
  <sheets>
    <sheet name="Portfolio" sheetId="1" r:id="rId1"/>
    <sheet name="expected_returns" sheetId="4" r:id="rId2"/>
    <sheet name="covariance" sheetId="2" r:id="rId3"/>
    <sheet name="correlation" sheetId="3" r:id="rId4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<sst xmlns="http://schemas.openxmlformats.org/spreadsheetml/2006/main" count="109" uniqueCount="74">
  <si>
    <t>Europe</t>
  </si>
  <si>
    <t>USA</t>
  </si>
  <si>
    <t>Japon</t>
  </si>
  <si>
    <t>EM</t>
  </si>
  <si>
    <t>Actions</t>
  </si>
  <si>
    <t>Assets</t>
  </si>
  <si>
    <t>Geo</t>
  </si>
  <si>
    <t>Underlying</t>
  </si>
  <si>
    <t>Isin</t>
  </si>
  <si>
    <t>Comgest Growth Europe Acc</t>
  </si>
  <si>
    <t>IE0004766675</t>
  </si>
  <si>
    <t>LU0244270301.EUFUND</t>
  </si>
  <si>
    <t>LU0244270301</t>
  </si>
  <si>
    <t>JPMorgan Us Value Fd A Eur Hg</t>
  </si>
  <si>
    <t>AF Equity Japan Target G EUR</t>
  </si>
  <si>
    <t>LU0797053732</t>
  </si>
  <si>
    <t>Obligations</t>
  </si>
  <si>
    <t>LU0552028184</t>
  </si>
  <si>
    <t>Amundi Em Mkts Eq Focus AC</t>
  </si>
  <si>
    <t>Strat</t>
  </si>
  <si>
    <t>Long Only</t>
  </si>
  <si>
    <t>High Yield</t>
  </si>
  <si>
    <t>LU0251130802</t>
  </si>
  <si>
    <t>Fidelity European Hi Yi Fd A Eur Cap</t>
  </si>
  <si>
    <t>PIMCO GIS Income E Hedged</t>
  </si>
  <si>
    <t>IE00B84J9L26.EUFUND</t>
  </si>
  <si>
    <t>IE00B84J9L26</t>
  </si>
  <si>
    <t>Monde</t>
  </si>
  <si>
    <t>Obligations Diversifiées</t>
  </si>
  <si>
    <t>Diversification</t>
  </si>
  <si>
    <t>Allocation Flexible</t>
  </si>
  <si>
    <t>FE Amundi International AE</t>
  </si>
  <si>
    <t>LU0565135745</t>
  </si>
  <si>
    <t>Govies</t>
  </si>
  <si>
    <t>US Bond</t>
  </si>
  <si>
    <t>UK Bond</t>
  </si>
  <si>
    <t>Japan Bon</t>
  </si>
  <si>
    <t>EMU Bond All Maturity</t>
  </si>
  <si>
    <t>IG</t>
  </si>
  <si>
    <t>Euro Corporate</t>
  </si>
  <si>
    <t>US Corporate</t>
  </si>
  <si>
    <t>HY &amp; EMBI</t>
  </si>
  <si>
    <t>EM Hard Currency Debt</t>
  </si>
  <si>
    <t>Equities</t>
  </si>
  <si>
    <t>US Equity</t>
  </si>
  <si>
    <t>Euro Zone Equity</t>
  </si>
  <si>
    <t>UK Equity</t>
  </si>
  <si>
    <t>Japan Equity</t>
  </si>
  <si>
    <t>Pacific Ex-Japan Equity</t>
  </si>
  <si>
    <t>Emerging Market Equity</t>
  </si>
  <si>
    <t>Real &amp; Alternatives</t>
  </si>
  <si>
    <t>EU Real Estate</t>
  </si>
  <si>
    <t>EU Private Equity</t>
  </si>
  <si>
    <t>US Real Estate</t>
  </si>
  <si>
    <t>US Private Equity</t>
  </si>
  <si>
    <t>Global Infrastructure</t>
  </si>
  <si>
    <t>Global Private Debt</t>
  </si>
  <si>
    <t>10Y Volatilty</t>
  </si>
  <si>
    <t>10Y CVaR 99%</t>
  </si>
  <si>
    <r>
      <t xml:space="preserve">10Y Expected Returns
</t>
    </r>
    <r>
      <rPr>
        <b/>
        <i/>
        <sz val="11"/>
        <color theme="0"/>
        <rFont val="Aptos Narrow"/>
        <family val="2"/>
        <scheme val="minor"/>
      </rPr>
      <t>Geometric</t>
    </r>
  </si>
  <si>
    <r>
      <t xml:space="preserve">10Y Expected Returns
</t>
    </r>
    <r>
      <rPr>
        <b/>
        <i/>
        <sz val="11"/>
        <color theme="0"/>
        <rFont val="Aptos Narrow"/>
        <family val="2"/>
        <scheme val="minor"/>
      </rPr>
      <t>Arithmetic</t>
    </r>
  </si>
  <si>
    <t>Amundi</t>
  </si>
  <si>
    <t>BlackRock</t>
  </si>
  <si>
    <t>HFRI Hedge Fund Composite</t>
  </si>
  <si>
    <t>source BlackRock : https://www.blackrock.com/institutions/en-us/insights/charts/capital-market-assumptions#assumptions</t>
  </si>
  <si>
    <t>Source Amundi : https://research-center.amundi.com/article/asset-class-returns-forecasts-q2-2023</t>
  </si>
  <si>
    <t>Le pdf est stocké sur le serveur dans l'arborescence suivante : Gestion\Investissement\Coté\Capital Market Assumptions</t>
  </si>
  <si>
    <t>Le fichier Excel est stocké sur le serveur dans l'arborescence suivante : Gestion\Investissement\Coté\Capital Market Assumptions</t>
  </si>
  <si>
    <t>Expected Return</t>
  </si>
  <si>
    <t>IE0004766675.EUFUND</t>
  </si>
  <si>
    <t>LU0797053732.EUFUND</t>
  </si>
  <si>
    <t>LU0552028184.EUFUND</t>
  </si>
  <si>
    <t>LU0251130802.EUFUND</t>
  </si>
  <si>
    <t>LU0565135745.EUFUND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</si>
</sst>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b/>
      <sz val="18"/>
      <color rgb="FFC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11" fontId="0" fillId="0" borderId="0" xfId="0" applyNumberFormat="1"/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Continuous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10" fontId="0" fillId="0" borderId="0" xfId="1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0" fontId="0" fillId="0" borderId="1" xfId="1" applyNumberFormat="1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10" fontId="0" fillId="0" borderId="2" xfId="1" applyNumberFormat="1" applyFont="1" applyBorder="1" applyAlignment="1">
      <alignment horizontal="center"/>
    </xf>
    <xf numFmtId="0" fontId="4" fillId="0" borderId="0" xfId="0" applyFont="1"/>
    <xf numFmtId="10" fontId="0" fillId="0" borderId="0" xfId="0" applyNumberFormat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0" borderId="1" xfId="0" applyFill="1" applyBorder="1"/>
    <xf numFmtId="0" fontId="5" fillId="0" borderId="0" xfId="0" applyFont="1"/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A02BD-2872-4C72-8732-F4C11DF00049}">
  <dimension ref="A1:F8"/>
  <sheetViews>
    <sheetView tabSelected="1" workbookViewId="0">
      <selection activeCell="A5" sqref="A5"/>
    </sheetView>
  </sheetViews>
  <sheetFormatPr baseColWidth="10" defaultRowHeight="15" x14ac:dyDescent="0.25"/>
  <cols>
    <col min="3" max="3" width="25.5703125" customWidth="1"/>
    <col min="4" max="4" width="32.28515625" bestFit="1" customWidth="1"/>
    <col min="5" max="5" width="13.140625" bestFit="1" customWidth="1"/>
    <col min="6" max="6" width="14.85546875" bestFit="1" customWidth="1"/>
  </cols>
  <sheetData>
    <row r="1" spans="1:6" x14ac:dyDescent="0.25">
      <c r="A1" t="s">
        <v>5</v>
      </c>
      <c r="B1" t="s">
        <v>6</v>
      </c>
      <c r="C1" t="s">
        <v>19</v>
      </c>
      <c r="D1" t="s">
        <v>7</v>
      </c>
      <c r="E1" t="s">
        <v>8</v>
      </c>
      <c r="F1" t="s">
        <v>68</v>
      </c>
    </row>
    <row r="2" spans="1:6" x14ac:dyDescent="0.25">
      <c r="A2" t="s">
        <v>4</v>
      </c>
      <c r="B2" t="s">
        <v>0</v>
      </c>
      <c r="C2" t="s">
        <v>20</v>
      </c>
      <c r="D2" t="s">
        <v>9</v>
      </c>
      <c r="E2" t="s">
        <v>10</v>
      </c>
      <c r="F2">
        <v>0.6</v>
      </c>
    </row>
    <row r="3" spans="1:6" x14ac:dyDescent="0.25">
      <c r="A3" t="s">
        <v>4</v>
      </c>
      <c r="B3" t="s">
        <v>1</v>
      </c>
      <c r="C3" t="s">
        <v>20</v>
      </c>
      <c r="D3" t="s">
        <v>13</v>
      </c>
      <c r="E3" t="s">
        <v>12</v>
      </c>
      <c r="F3">
        <v>7.0999999999999994E-2</v>
      </c>
    </row>
    <row r="4" spans="1:6" x14ac:dyDescent="0.25">
      <c r="A4" t="s">
        <v>4</v>
      </c>
      <c r="B4" t="s">
        <v>2</v>
      </c>
      <c r="C4" t="s">
        <v>20</v>
      </c>
      <c r="D4" t="s">
        <v>14</v>
      </c>
      <c r="E4" t="s">
        <v>15</v>
      </c>
      <c r="F4">
        <v>6.5000000000000002E-2</v>
      </c>
    </row>
    <row r="5" spans="1:6" x14ac:dyDescent="0.25">
      <c r="A5" t="s">
        <v>4</v>
      </c>
      <c r="B5" t="s">
        <v>3</v>
      </c>
      <c r="C5" t="s">
        <v>20</v>
      </c>
      <c r="D5" t="s">
        <v>18</v>
      </c>
      <c r="E5" t="s">
        <v>17</v>
      </c>
      <c r="F5">
        <v>0.08</v>
      </c>
    </row>
    <row r="6" spans="1:6" x14ac:dyDescent="0.25">
      <c r="A6" t="s">
        <v>16</v>
      </c>
      <c r="B6" t="s">
        <v>0</v>
      </c>
      <c r="C6" t="s">
        <v>21</v>
      </c>
      <c r="D6" t="s">
        <v>23</v>
      </c>
      <c r="E6" t="s">
        <v>22</v>
      </c>
      <c r="F6">
        <v>5.2999999999999999E-2</v>
      </c>
    </row>
    <row r="7" spans="1:6" x14ac:dyDescent="0.25">
      <c r="A7" t="s">
        <v>16</v>
      </c>
      <c r="B7" t="s">
        <v>27</v>
      </c>
      <c r="C7" t="s">
        <v>28</v>
      </c>
      <c r="D7" t="s">
        <v>24</v>
      </c>
      <c r="E7" t="s">
        <v>26</v>
      </c>
      <c r="F7">
        <v>0.04</v>
      </c>
    </row>
    <row r="8" spans="1:6" x14ac:dyDescent="0.25">
      <c r="A8" t="s">
        <v>29</v>
      </c>
      <c r="B8" t="s">
        <v>27</v>
      </c>
      <c r="C8" t="s">
        <v>30</v>
      </c>
      <c r="D8" t="s">
        <v>31</v>
      </c>
      <c r="E8" t="s">
        <v>32</v>
      </c>
      <c r="F8">
        <v>5.5E-2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EC33B-E260-4029-A45B-F30B3303D8A8}">
  <dimension ref="B2:J31"/>
  <sheetViews>
    <sheetView showGridLines="0" workbookViewId="0">
      <selection activeCell="E10" sqref="E10"/>
    </sheetView>
  </sheetViews>
  <sheetFormatPr baseColWidth="10" defaultRowHeight="15" x14ac:dyDescent="0.25"/>
  <cols>
    <col min="2" max="2" width="17.42578125" bestFit="1" customWidth="1"/>
    <col min="3" max="3" width="25.85546875" bestFit="1" customWidth="1"/>
    <col min="4" max="7" width="15.7109375" customWidth="1"/>
    <col min="8" max="8" width="2.85546875" customWidth="1"/>
    <col min="9" max="10" width="15.7109375" customWidth="1"/>
  </cols>
  <sheetData>
    <row r="2" spans="2:10" ht="24" x14ac:dyDescent="0.4">
      <c r="C2" s="20" t="s">
        <v>61</v>
      </c>
      <c r="I2" s="20" t="s">
        <v>62</v>
      </c>
    </row>
    <row r="3" spans="2:10" ht="45" x14ac:dyDescent="0.25">
      <c r="B3" s="4" t="s">
        <v>5</v>
      </c>
      <c r="C3" s="4"/>
      <c r="D3" s="5" t="s">
        <v>59</v>
      </c>
      <c r="E3" s="5" t="s">
        <v>60</v>
      </c>
      <c r="F3" s="6" t="s">
        <v>57</v>
      </c>
      <c r="G3" s="6" t="s">
        <v>58</v>
      </c>
      <c r="I3" s="5" t="s">
        <v>60</v>
      </c>
      <c r="J3" s="6" t="s">
        <v>57</v>
      </c>
    </row>
    <row r="4" spans="2:10" x14ac:dyDescent="0.25">
      <c r="B4" s="7" t="s">
        <v>33</v>
      </c>
      <c r="C4" s="8" t="s">
        <v>34</v>
      </c>
      <c r="D4" s="9">
        <v>3.6999999999999998E-2</v>
      </c>
      <c r="E4" s="9">
        <v>3.7999999999999999E-2</v>
      </c>
      <c r="F4" s="9">
        <v>5.8999999999999997E-2</v>
      </c>
      <c r="G4" s="9">
        <v>0.13800000000000001</v>
      </c>
      <c r="I4" s="17">
        <v>3.9699999999999999E-2</v>
      </c>
      <c r="J4" s="21">
        <v>0.05</v>
      </c>
    </row>
    <row r="5" spans="2:10" x14ac:dyDescent="0.25">
      <c r="B5" s="7"/>
      <c r="C5" s="8" t="s">
        <v>35</v>
      </c>
      <c r="D5" s="9">
        <v>4.1000000000000002E-2</v>
      </c>
      <c r="E5" s="9">
        <v>4.2000000000000003E-2</v>
      </c>
      <c r="F5" s="9">
        <v>7.2999999999999995E-2</v>
      </c>
      <c r="G5" s="9">
        <v>0.20899999999999999</v>
      </c>
      <c r="I5" s="17">
        <v>4.1000000000000002E-2</v>
      </c>
      <c r="J5" s="21">
        <v>6.0400000000000002E-2</v>
      </c>
    </row>
    <row r="6" spans="2:10" x14ac:dyDescent="0.25">
      <c r="B6" s="7"/>
      <c r="C6" s="8" t="s">
        <v>36</v>
      </c>
      <c r="D6" s="9">
        <v>5.0000000000000001E-3</v>
      </c>
      <c r="E6" s="9">
        <v>6.0000000000000001E-3</v>
      </c>
      <c r="F6" s="9">
        <v>3.2000000000000001E-2</v>
      </c>
      <c r="G6" s="9">
        <v>6.8000000000000005E-2</v>
      </c>
      <c r="I6" s="17">
        <v>4.8999999999999998E-4</v>
      </c>
      <c r="J6" s="21">
        <v>2.8400000000000002E-2</v>
      </c>
    </row>
    <row r="7" spans="2:10" x14ac:dyDescent="0.25">
      <c r="B7" s="10"/>
      <c r="C7" s="11" t="s">
        <v>37</v>
      </c>
      <c r="D7" s="12">
        <v>3.4000000000000002E-2</v>
      </c>
      <c r="E7" s="12">
        <v>3.5000000000000003E-2</v>
      </c>
      <c r="F7" s="12">
        <v>5.7000000000000002E-2</v>
      </c>
      <c r="G7" s="12">
        <v>0.13300000000000001</v>
      </c>
      <c r="I7" s="18">
        <v>1.3100000000000001E-2</v>
      </c>
      <c r="J7" s="22">
        <v>0.1172</v>
      </c>
    </row>
    <row r="8" spans="2:10" x14ac:dyDescent="0.25">
      <c r="B8" s="13" t="s">
        <v>38</v>
      </c>
      <c r="C8" s="14" t="s">
        <v>39</v>
      </c>
      <c r="D8" s="15">
        <v>4.7E-2</v>
      </c>
      <c r="E8" s="15">
        <v>0.04</v>
      </c>
      <c r="F8" s="15">
        <v>4.2000000000000003E-2</v>
      </c>
      <c r="G8" s="15">
        <v>0.08</v>
      </c>
      <c r="I8" s="17">
        <v>2.87E-2</v>
      </c>
      <c r="J8" s="21">
        <v>3.8100000000000002E-2</v>
      </c>
    </row>
    <row r="9" spans="2:10" x14ac:dyDescent="0.25">
      <c r="B9" s="10"/>
      <c r="C9" s="11" t="s">
        <v>40</v>
      </c>
      <c r="D9" s="12">
        <v>0.05</v>
      </c>
      <c r="E9" s="12">
        <v>5.0999999999999997E-2</v>
      </c>
      <c r="F9" s="12">
        <v>5.8999999999999997E-2</v>
      </c>
      <c r="G9" s="12">
        <v>0.11700000000000001</v>
      </c>
      <c r="I9" s="18">
        <v>4.2000000000000003E-2</v>
      </c>
      <c r="J9" s="22">
        <v>0.06</v>
      </c>
    </row>
    <row r="10" spans="2:10" x14ac:dyDescent="0.25">
      <c r="B10" s="13" t="s">
        <v>41</v>
      </c>
      <c r="C10" s="14" t="s">
        <v>39</v>
      </c>
      <c r="D10" s="15">
        <v>4.7E-2</v>
      </c>
      <c r="E10" s="15">
        <v>5.2999999999999999E-2</v>
      </c>
      <c r="F10" s="15">
        <v>0.11899999999999999</v>
      </c>
      <c r="G10" s="15">
        <v>0.214</v>
      </c>
      <c r="I10" s="17">
        <v>1.83E-2</v>
      </c>
      <c r="J10" s="21">
        <v>9.5000000000000001E-2</v>
      </c>
    </row>
    <row r="11" spans="2:10" x14ac:dyDescent="0.25">
      <c r="B11" s="7"/>
      <c r="C11" s="8" t="s">
        <v>40</v>
      </c>
      <c r="D11" s="9">
        <v>0.05</v>
      </c>
      <c r="E11" s="9">
        <v>5.3999999999999999E-2</v>
      </c>
      <c r="F11" s="9">
        <v>0.106</v>
      </c>
      <c r="G11" s="9">
        <v>0.19400000000000001</v>
      </c>
      <c r="I11" s="17">
        <v>6.0499999999999998E-2</v>
      </c>
      <c r="J11" s="21">
        <v>7.0000000000000007E-2</v>
      </c>
    </row>
    <row r="12" spans="2:10" x14ac:dyDescent="0.25">
      <c r="B12" s="10"/>
      <c r="C12" s="11" t="s">
        <v>42</v>
      </c>
      <c r="D12" s="12">
        <v>5.7000000000000002E-2</v>
      </c>
      <c r="E12" s="12">
        <v>6.0999999999999999E-2</v>
      </c>
      <c r="F12" s="12">
        <v>0.108</v>
      </c>
      <c r="G12" s="12">
        <v>0.20599999999999999</v>
      </c>
      <c r="I12" s="18">
        <v>5.0999999999999997E-2</v>
      </c>
      <c r="J12" s="22">
        <v>9.8699999999999996E-2</v>
      </c>
    </row>
    <row r="13" spans="2:10" x14ac:dyDescent="0.25">
      <c r="B13" s="13" t="s">
        <v>43</v>
      </c>
      <c r="C13" s="14" t="s">
        <v>44</v>
      </c>
      <c r="D13" s="15">
        <v>5.8000000000000003E-2</v>
      </c>
      <c r="E13" s="15">
        <v>7.0999999999999994E-2</v>
      </c>
      <c r="F13" s="15">
        <v>0.16800000000000001</v>
      </c>
      <c r="G13" s="15">
        <v>0.45700000000000002</v>
      </c>
      <c r="I13" s="17">
        <v>5.4199999999999998E-2</v>
      </c>
      <c r="J13" s="21">
        <v>0.17699999999999999</v>
      </c>
    </row>
    <row r="14" spans="2:10" x14ac:dyDescent="0.25">
      <c r="B14" s="7"/>
      <c r="C14" s="8" t="s">
        <v>45</v>
      </c>
      <c r="D14" s="9">
        <v>5.0999999999999997E-2</v>
      </c>
      <c r="E14" s="9">
        <v>7.0000000000000007E-2</v>
      </c>
      <c r="F14" s="9">
        <v>0.19500000000000001</v>
      </c>
      <c r="G14" s="9">
        <v>0.51800000000000002</v>
      </c>
      <c r="I14" s="17">
        <v>6.7599999999999993E-2</v>
      </c>
      <c r="J14" s="21">
        <v>0.15160000000000001</v>
      </c>
    </row>
    <row r="15" spans="2:10" x14ac:dyDescent="0.25">
      <c r="B15" s="7"/>
      <c r="C15" s="8" t="s">
        <v>46</v>
      </c>
      <c r="D15" s="9">
        <v>6.6000000000000003E-2</v>
      </c>
      <c r="E15" s="9">
        <v>7.6999999999999999E-2</v>
      </c>
      <c r="F15" s="9">
        <v>0.157</v>
      </c>
      <c r="G15" s="9">
        <v>0.43099999999999999</v>
      </c>
      <c r="I15" s="17">
        <v>6.6699999999999995E-2</v>
      </c>
      <c r="J15" s="21">
        <v>0.15190000000000001</v>
      </c>
    </row>
    <row r="16" spans="2:10" x14ac:dyDescent="0.25">
      <c r="B16" s="7"/>
      <c r="C16" s="8" t="s">
        <v>47</v>
      </c>
      <c r="D16" s="9">
        <v>5.6000000000000001E-2</v>
      </c>
      <c r="E16" s="9">
        <v>7.5999999999999998E-2</v>
      </c>
      <c r="F16" s="9">
        <v>0.19800000000000001</v>
      </c>
      <c r="G16" s="9">
        <v>0.51100000000000001</v>
      </c>
      <c r="I16" s="17">
        <v>5.28E-2</v>
      </c>
      <c r="J16" s="21">
        <v>0.1709</v>
      </c>
    </row>
    <row r="17" spans="2:10" x14ac:dyDescent="0.25">
      <c r="B17" s="7"/>
      <c r="C17" s="8" t="s">
        <v>48</v>
      </c>
      <c r="D17" s="9">
        <v>6.2E-2</v>
      </c>
      <c r="E17" s="9">
        <v>7.6999999999999999E-2</v>
      </c>
      <c r="F17" s="9">
        <v>0.18099999999999999</v>
      </c>
      <c r="G17" s="9">
        <v>0.48299999999999998</v>
      </c>
      <c r="I17" s="3"/>
      <c r="J17" s="21"/>
    </row>
    <row r="18" spans="2:10" x14ac:dyDescent="0.25">
      <c r="B18" s="10"/>
      <c r="C18" s="11" t="s">
        <v>49</v>
      </c>
      <c r="D18" s="12">
        <v>6.8000000000000005E-2</v>
      </c>
      <c r="E18" s="12">
        <v>8.5000000000000006E-2</v>
      </c>
      <c r="F18" s="12">
        <v>0.185</v>
      </c>
      <c r="G18" s="12">
        <v>0.61</v>
      </c>
      <c r="I18" s="18">
        <v>6.9000000000000006E-2</v>
      </c>
      <c r="J18" s="22">
        <v>0.1835</v>
      </c>
    </row>
    <row r="19" spans="2:10" x14ac:dyDescent="0.25">
      <c r="B19" s="13" t="s">
        <v>50</v>
      </c>
      <c r="C19" s="14" t="s">
        <v>51</v>
      </c>
      <c r="D19" s="15">
        <v>4.7E-2</v>
      </c>
      <c r="E19" s="15">
        <v>5.0999999999999997E-2</v>
      </c>
      <c r="F19" s="15">
        <v>0.1</v>
      </c>
      <c r="G19" s="15">
        <v>0.26900000000000002</v>
      </c>
      <c r="I19" s="17">
        <v>4.48E-2</v>
      </c>
      <c r="J19" s="21">
        <v>8.5400000000000004E-2</v>
      </c>
    </row>
    <row r="20" spans="2:10" x14ac:dyDescent="0.25">
      <c r="B20" s="7"/>
      <c r="C20" s="8" t="s">
        <v>52</v>
      </c>
      <c r="D20" s="9">
        <v>8.3000000000000004E-2</v>
      </c>
      <c r="E20" s="9">
        <v>9.9000000000000005E-2</v>
      </c>
      <c r="F20" s="9">
        <v>0.193</v>
      </c>
      <c r="G20" s="9">
        <v>0.51900000000000002</v>
      </c>
      <c r="I20" s="17">
        <v>8.5999999999999993E-2</v>
      </c>
      <c r="J20" s="21">
        <v>0.25</v>
      </c>
    </row>
    <row r="21" spans="2:10" x14ac:dyDescent="0.25">
      <c r="B21" s="7"/>
      <c r="C21" s="8" t="s">
        <v>53</v>
      </c>
      <c r="D21" s="9">
        <v>0.05</v>
      </c>
      <c r="E21" s="9">
        <v>5.8000000000000003E-2</v>
      </c>
      <c r="F21" s="9">
        <v>0.13100000000000001</v>
      </c>
      <c r="G21" s="9">
        <v>0.46100000000000002</v>
      </c>
      <c r="I21" s="17">
        <v>6.0999999999999999E-2</v>
      </c>
      <c r="J21" s="21">
        <v>9.7500000000000003E-2</v>
      </c>
    </row>
    <row r="22" spans="2:10" x14ac:dyDescent="0.25">
      <c r="B22" s="7"/>
      <c r="C22" s="8" t="s">
        <v>54</v>
      </c>
      <c r="D22" s="9">
        <v>9.6000000000000002E-2</v>
      </c>
      <c r="E22" s="9">
        <v>0.115</v>
      </c>
      <c r="F22" s="9">
        <v>0.21199999999999999</v>
      </c>
      <c r="G22" s="9">
        <v>0.53700000000000003</v>
      </c>
      <c r="I22" s="17">
        <v>0.10299999999999999</v>
      </c>
      <c r="J22" s="21">
        <v>0.3226</v>
      </c>
    </row>
    <row r="23" spans="2:10" x14ac:dyDescent="0.25">
      <c r="B23" s="7"/>
      <c r="C23" s="8" t="s">
        <v>55</v>
      </c>
      <c r="D23" s="9">
        <v>5.8000000000000003E-2</v>
      </c>
      <c r="E23" s="9">
        <v>6.7000000000000004E-2</v>
      </c>
      <c r="F23" s="9">
        <v>0.14599999999999999</v>
      </c>
      <c r="G23" s="9">
        <v>0.35499999999999998</v>
      </c>
      <c r="I23" s="17">
        <v>5.6000000000000001E-2</v>
      </c>
      <c r="J23" s="21">
        <v>7.0000000000000007E-2</v>
      </c>
    </row>
    <row r="24" spans="2:10" x14ac:dyDescent="0.25">
      <c r="B24" s="7"/>
      <c r="C24" s="8" t="s">
        <v>56</v>
      </c>
      <c r="D24" s="9">
        <v>6.7000000000000004E-2</v>
      </c>
      <c r="E24" s="9">
        <v>7.0999999999999994E-2</v>
      </c>
      <c r="F24" s="9">
        <v>0.108</v>
      </c>
      <c r="G24" s="9">
        <v>0.34899999999999998</v>
      </c>
      <c r="I24" s="3"/>
      <c r="J24" s="21"/>
    </row>
    <row r="25" spans="2:10" x14ac:dyDescent="0.25">
      <c r="B25" s="10"/>
      <c r="C25" s="19" t="s">
        <v>63</v>
      </c>
      <c r="D25" s="12"/>
      <c r="E25" s="12"/>
      <c r="F25" s="12"/>
      <c r="G25" s="12"/>
      <c r="I25" s="18">
        <v>6.8000000000000005E-2</v>
      </c>
      <c r="J25" s="22">
        <v>6.7000000000000004E-2</v>
      </c>
    </row>
    <row r="26" spans="2:10" x14ac:dyDescent="0.25">
      <c r="I26" s="3"/>
    </row>
    <row r="27" spans="2:10" x14ac:dyDescent="0.25">
      <c r="B27" s="16" t="s">
        <v>65</v>
      </c>
      <c r="C27" s="16"/>
    </row>
    <row r="28" spans="2:10" x14ac:dyDescent="0.25">
      <c r="B28" s="16" t="s">
        <v>66</v>
      </c>
      <c r="C28" s="16"/>
    </row>
    <row r="30" spans="2:10" x14ac:dyDescent="0.25">
      <c r="B30" s="16" t="s">
        <v>64</v>
      </c>
    </row>
    <row r="31" spans="2:10" x14ac:dyDescent="0.25">
      <c r="B31" s="16" t="s">
        <v>67</v>
      </c>
    </row>
  </sheetData>
  <mergeCells count="5">
    <mergeCell ref="B4:B7"/>
    <mergeCell ref="B8:B9"/>
    <mergeCell ref="B10:B12"/>
    <mergeCell ref="B13:B18"/>
    <mergeCell ref="B19:B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FFA34-0A1D-4CBF-A34E-AA970AC943BB}">
  <dimension ref="A1:I18"/>
  <sheetViews>
    <sheetView workbookViewId="0">
      <selection activeCell="H5" sqref="H5"/>
    </sheetView>
  </sheetViews>
  <sheetFormatPr baseColWidth="10" defaultRowHeight="15" x14ac:dyDescent="0.25"/>
  <sheetData>
    <row r="1" spans="1:9" x14ac:dyDescent="0.25">
      <c r="B1" t="s">
        <v>69</v>
      </c>
      <c r="C1" t="s">
        <v>11</v>
      </c>
      <c r="D1" t="s">
        <v>70</v>
      </c>
      <c r="E1" t="s">
        <v>71</v>
      </c>
      <c r="F1" t="s">
        <v>72</v>
      </c>
      <c r="G1" t="s">
        <v>25</v>
      </c>
      <c r="H1" t="s">
        <v>73</v>
      </c>
    </row>
    <row r="2" spans="1:9" x14ac:dyDescent="0.25">
      <c r="A2" t="s">
        <v>69</v>
      </c>
      <c r="B2" s="1">
        <v>9.5140204460025503E-5</v>
      </c>
      <c r="C2" s="1">
        <v>6.0303163200984202E-5</v>
      </c>
      <c r="D2" s="1">
        <v>2.6460516910866999E-5</v>
      </c>
      <c r="E2" s="1">
        <v>5.0164727645607399E-5</v>
      </c>
      <c r="F2" s="1">
        <v>1.2672210707919E-5</v>
      </c>
      <c r="G2" s="1">
        <v>1.03322999629894E-5</v>
      </c>
      <c r="H2" s="1">
        <v>4.1811617422626097E-5</v>
      </c>
    </row>
    <row r="3" spans="1:9" x14ac:dyDescent="0.25">
      <c r="A3" t="s">
        <v>11</v>
      </c>
      <c r="B3" s="1">
        <v>6.0303163200984202E-5</v>
      </c>
      <c r="C3" s="1">
        <v>9.8892213478301498E-5</v>
      </c>
      <c r="D3" s="1">
        <v>3.8265023906402601E-5</v>
      </c>
      <c r="E3" s="1">
        <v>4.8275814119845202E-5</v>
      </c>
      <c r="F3" s="1">
        <v>1.5034859914828501E-5</v>
      </c>
      <c r="G3" s="1">
        <v>1.17441846753408E-5</v>
      </c>
      <c r="H3" s="1">
        <v>3.3501520752588E-5</v>
      </c>
    </row>
    <row r="4" spans="1:9" x14ac:dyDescent="0.25">
      <c r="A4" t="s">
        <v>70</v>
      </c>
      <c r="B4" s="1">
        <v>2.6460516910866999E-5</v>
      </c>
      <c r="C4" s="1">
        <v>3.8265023906402601E-5</v>
      </c>
      <c r="D4">
        <v>1.35689449098261E-4</v>
      </c>
      <c r="E4" s="1">
        <v>4.3104998754127103E-5</v>
      </c>
      <c r="F4" s="1">
        <v>9.4276476947572192E-6</v>
      </c>
      <c r="G4" s="1">
        <v>3.9764981969259296E-6</v>
      </c>
      <c r="H4" s="1">
        <v>2.7800617831584499E-5</v>
      </c>
    </row>
    <row r="5" spans="1:9" x14ac:dyDescent="0.25">
      <c r="A5" t="s">
        <v>71</v>
      </c>
      <c r="B5" s="1">
        <v>5.0164727645607399E-5</v>
      </c>
      <c r="C5" s="1">
        <v>4.8275814119845202E-5</v>
      </c>
      <c r="D5" s="1">
        <v>4.3104998754127103E-5</v>
      </c>
      <c r="E5">
        <v>1.01798243564061E-4</v>
      </c>
      <c r="F5" s="1">
        <v>1.3169803646764799E-5</v>
      </c>
      <c r="G5" s="1">
        <v>7.8250202808281394E-6</v>
      </c>
      <c r="H5" s="1">
        <v>4.5920010935772599E-5</v>
      </c>
    </row>
    <row r="6" spans="1:9" x14ac:dyDescent="0.25">
      <c r="A6" t="s">
        <v>72</v>
      </c>
      <c r="B6" s="1">
        <v>1.2672210707919E-5</v>
      </c>
      <c r="C6" s="1">
        <v>1.5034859914828501E-5</v>
      </c>
      <c r="D6" s="1">
        <v>9.4276476947572192E-6</v>
      </c>
      <c r="E6" s="1">
        <v>1.3169803646764799E-5</v>
      </c>
      <c r="F6" s="1">
        <v>9.4150194110398197E-6</v>
      </c>
      <c r="G6" s="1">
        <v>4.1915864372810901E-6</v>
      </c>
      <c r="H6" s="1">
        <v>7.5376816864622002E-6</v>
      </c>
    </row>
    <row r="7" spans="1:9" x14ac:dyDescent="0.25">
      <c r="A7" t="s">
        <v>25</v>
      </c>
      <c r="B7" s="1">
        <v>1.03322999629894E-5</v>
      </c>
      <c r="C7" s="1">
        <v>1.17441846753408E-5</v>
      </c>
      <c r="D7" s="1">
        <v>3.9764981969259296E-6</v>
      </c>
      <c r="E7" s="1">
        <v>7.8250202808281394E-6</v>
      </c>
      <c r="F7" s="1">
        <v>4.1915864372810901E-6</v>
      </c>
      <c r="G7" s="1">
        <v>6.92644723167181E-6</v>
      </c>
      <c r="H7" s="1">
        <v>6.4053167375958601E-6</v>
      </c>
    </row>
    <row r="8" spans="1:9" x14ac:dyDescent="0.25">
      <c r="A8" t="s">
        <v>73</v>
      </c>
      <c r="B8" s="1">
        <v>4.1811617422626097E-5</v>
      </c>
      <c r="C8" s="1">
        <v>3.3501520752588E-5</v>
      </c>
      <c r="D8" s="1">
        <v>2.7800617831584499E-5</v>
      </c>
      <c r="E8" s="1">
        <v>4.5920010935772599E-5</v>
      </c>
      <c r="F8" s="1">
        <v>7.5376816864622002E-6</v>
      </c>
      <c r="G8" s="1">
        <v>6.4053167375958601E-6</v>
      </c>
      <c r="H8" s="1">
        <v>4.9575202939347E-5</v>
      </c>
    </row>
    <row r="12" spans="1:9" x14ac:dyDescent="0.25">
      <c r="C12" s="1"/>
      <c r="D12" s="1"/>
      <c r="E12" s="1"/>
      <c r="F12" s="1"/>
      <c r="G12" s="1"/>
      <c r="H12" s="1"/>
      <c r="I12" s="1"/>
    </row>
    <row r="13" spans="1:9" x14ac:dyDescent="0.25">
      <c r="C13" s="1"/>
      <c r="D13" s="1"/>
      <c r="E13" s="1"/>
      <c r="F13" s="1"/>
      <c r="G13" s="1"/>
      <c r="H13" s="1"/>
      <c r="I13" s="1"/>
    </row>
    <row r="14" spans="1:9" x14ac:dyDescent="0.25">
      <c r="C14" s="1"/>
      <c r="D14" s="1"/>
      <c r="E14" s="1"/>
      <c r="F14" s="1"/>
      <c r="G14" s="1"/>
      <c r="H14" s="1"/>
      <c r="I14" s="1"/>
    </row>
    <row r="15" spans="1:9" x14ac:dyDescent="0.25">
      <c r="C15" s="1"/>
      <c r="D15" s="1"/>
      <c r="E15" s="1"/>
      <c r="F15" s="1"/>
      <c r="G15" s="1"/>
      <c r="H15" s="1"/>
      <c r="I15" s="1"/>
    </row>
    <row r="16" spans="1:9" x14ac:dyDescent="0.25">
      <c r="C16" s="1"/>
      <c r="D16" s="1"/>
      <c r="E16" s="1"/>
      <c r="F16" s="1"/>
      <c r="G16" s="1"/>
      <c r="H16" s="1"/>
      <c r="I16" s="1"/>
    </row>
    <row r="17" spans="3:9" x14ac:dyDescent="0.25">
      <c r="C17" s="1"/>
      <c r="D17" s="1"/>
      <c r="E17" s="1"/>
      <c r="F17" s="1"/>
      <c r="G17" s="1"/>
      <c r="H17" s="1"/>
      <c r="I17" s="1"/>
    </row>
    <row r="18" spans="3:9" x14ac:dyDescent="0.25">
      <c r="C18" s="1"/>
      <c r="D18" s="1"/>
      <c r="E18" s="1"/>
      <c r="F18" s="1"/>
      <c r="G18" s="1"/>
      <c r="H18" s="1"/>
      <c r="I1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1CE90-B6DC-4FF8-9148-0E0C7D0011E5}">
  <dimension ref="A1:H8"/>
  <sheetViews>
    <sheetView workbookViewId="0">
      <selection activeCell="D26" sqref="D26"/>
    </sheetView>
  </sheetViews>
  <sheetFormatPr baseColWidth="10" defaultRowHeight="15" x14ac:dyDescent="0.25"/>
  <sheetData>
    <row r="1" spans="1:8" x14ac:dyDescent="0.25">
      <c r="B1" t="s">
        <v>9</v>
      </c>
      <c r="C1" t="s">
        <v>13</v>
      </c>
      <c r="D1" t="s">
        <v>14</v>
      </c>
      <c r="E1" t="s">
        <v>18</v>
      </c>
      <c r="F1" t="s">
        <v>23</v>
      </c>
      <c r="G1" t="s">
        <v>24</v>
      </c>
      <c r="H1" t="s">
        <v>31</v>
      </c>
    </row>
    <row r="2" spans="1:8" x14ac:dyDescent="0.25">
      <c r="A2" t="s">
        <v>9</v>
      </c>
      <c r="B2" s="2">
        <v>1</v>
      </c>
      <c r="C2" s="2">
        <v>0.621694470397817</v>
      </c>
      <c r="D2" s="2">
        <v>0.232885926289782</v>
      </c>
      <c r="E2" s="2">
        <v>0.50973713795035003</v>
      </c>
      <c r="F2" s="2">
        <v>0.42340865909118103</v>
      </c>
      <c r="G2" s="2">
        <v>0.40249426882499201</v>
      </c>
      <c r="H2" s="2">
        <v>0.608811261752642</v>
      </c>
    </row>
    <row r="3" spans="1:8" x14ac:dyDescent="0.25">
      <c r="A3" t="s">
        <v>13</v>
      </c>
      <c r="B3" s="2">
        <v>0.621694470397817</v>
      </c>
      <c r="C3" s="2">
        <v>1</v>
      </c>
      <c r="D3" s="2">
        <v>0.330329911141727</v>
      </c>
      <c r="E3" s="2">
        <v>0.48114770123531903</v>
      </c>
      <c r="F3" s="2">
        <v>0.49272855008889299</v>
      </c>
      <c r="G3" s="2">
        <v>0.44873150088389802</v>
      </c>
      <c r="H3" s="2">
        <v>0.478466154674344</v>
      </c>
    </row>
    <row r="4" spans="1:8" x14ac:dyDescent="0.25">
      <c r="A4" t="s">
        <v>14</v>
      </c>
      <c r="B4" s="2">
        <v>0.232885926289782</v>
      </c>
      <c r="C4" s="2">
        <v>0.330329911141727</v>
      </c>
      <c r="D4" s="2">
        <v>1</v>
      </c>
      <c r="E4" s="2">
        <v>0.36676210352035898</v>
      </c>
      <c r="F4" s="2">
        <v>0.26376653569449399</v>
      </c>
      <c r="G4" s="2">
        <v>0.12970970908124099</v>
      </c>
      <c r="H4" s="2">
        <v>0.33896055155876698</v>
      </c>
    </row>
    <row r="5" spans="1:8" x14ac:dyDescent="0.25">
      <c r="A5" t="s">
        <v>18</v>
      </c>
      <c r="B5" s="2">
        <v>0.50973713795035003</v>
      </c>
      <c r="C5" s="2">
        <v>0.48114770123531903</v>
      </c>
      <c r="D5" s="2">
        <v>0.36676210352035898</v>
      </c>
      <c r="E5" s="2">
        <v>1</v>
      </c>
      <c r="F5" s="2">
        <v>0.42540104041555099</v>
      </c>
      <c r="G5" s="2">
        <v>0.29468638045697998</v>
      </c>
      <c r="H5" s="2">
        <v>0.64639738393189194</v>
      </c>
    </row>
    <row r="6" spans="1:8" x14ac:dyDescent="0.25">
      <c r="A6" t="s">
        <v>23</v>
      </c>
      <c r="B6" s="2">
        <v>0.42340865909118103</v>
      </c>
      <c r="C6" s="2">
        <v>0.49272855008889299</v>
      </c>
      <c r="D6" s="2">
        <v>0.26376653569449399</v>
      </c>
      <c r="E6" s="2">
        <v>0.42540104041555099</v>
      </c>
      <c r="F6" s="2">
        <v>1</v>
      </c>
      <c r="G6" s="2">
        <v>0.51905401122072503</v>
      </c>
      <c r="H6" s="2">
        <v>0.34889515066965898</v>
      </c>
    </row>
    <row r="7" spans="1:8" x14ac:dyDescent="0.25">
      <c r="A7" t="s">
        <v>24</v>
      </c>
      <c r="B7" s="2">
        <v>0.40249426882499201</v>
      </c>
      <c r="C7" s="2">
        <v>0.44873150088389802</v>
      </c>
      <c r="D7" s="2">
        <v>0.12970970908124099</v>
      </c>
      <c r="E7" s="2">
        <v>0.29468638045697998</v>
      </c>
      <c r="F7" s="2">
        <v>0.51905401122072503</v>
      </c>
      <c r="G7" s="2">
        <v>1</v>
      </c>
      <c r="H7" s="2">
        <v>0.34566315913261503</v>
      </c>
    </row>
    <row r="8" spans="1:8" x14ac:dyDescent="0.25">
      <c r="A8" t="s">
        <v>31</v>
      </c>
      <c r="B8" s="2">
        <v>0.608811261752642</v>
      </c>
      <c r="C8" s="2">
        <v>0.478466154674344</v>
      </c>
      <c r="D8" s="2">
        <v>0.33896055155876698</v>
      </c>
      <c r="E8" s="2">
        <v>0.64639738393189194</v>
      </c>
      <c r="F8" s="2">
        <v>0.34889515066965898</v>
      </c>
      <c r="G8" s="2">
        <v>0.34566315913261503</v>
      </c>
      <c r="H8" s="2">
        <v>1</v>
      </c>
    </row>
  </sheetData>
  <conditionalFormatting sqref="B2:H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437F078683E84DA1BA8A4783657D90" ma:contentTypeVersion="3" ma:contentTypeDescription="Crée un document." ma:contentTypeScope="" ma:versionID="d52f3125e38971501d9a9a87f39753d5">
  <xsd:schema xmlns:xsd="http://www.w3.org/2001/XMLSchema" xmlns:xs="http://www.w3.org/2001/XMLSchema" xmlns:p="http://schemas.microsoft.com/office/2006/metadata/properties" xmlns:ns2="245a5b3d-d457-45e9-9a4d-1bf7bf078ec8" targetNamespace="http://schemas.microsoft.com/office/2006/metadata/properties" ma:root="true" ma:fieldsID="48747bd115b4c34839bef998afb4ee70" ns2:_="">
    <xsd:import namespace="245a5b3d-d457-45e9-9a4d-1bf7bf078e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a5b3d-d457-45e9-9a4d-1bf7bf078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1B0B11D-2B9A-4B59-BAE3-1427325C832A}"/>
</file>

<file path=customXml/itemProps2.xml><?xml version="1.0" encoding="utf-8"?>
<ds:datastoreItem xmlns:ds="http://schemas.openxmlformats.org/officeDocument/2006/customXml" ds:itemID="{5670E967-ADA4-495D-A1C8-F7020B94F078}"/>
</file>

<file path=customXml/itemProps3.xml><?xml version="1.0" encoding="utf-8"?>
<ds:datastoreItem xmlns:ds="http://schemas.openxmlformats.org/officeDocument/2006/customXml" ds:itemID="{32DAA297-B329-4A26-BCBC-692F15A6E9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Portfolio</vt:lpstr>
      <vt:lpstr>expected_returns</vt:lpstr>
      <vt:lpstr>covariance</vt:lpstr>
      <vt:lpstr>correlation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Verley</dc:creator>
  <cp:lastModifiedBy>Antoine Verley</cp:lastModifiedBy>
  <dcterms:created xsi:type="dcterms:W3CDTF">2024-06-20T20:06:45Z</dcterms:created>
  <dcterms:modified xsi:type="dcterms:W3CDTF">2024-06-21T13:34:19Z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0x010100C9437F078683E84DA1BA8A4783657D90</vt:lpwstr>
  </property>
</Properties>
</file>