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5\SynoCome\AVerley\INVESTISSEMENTS\TRAVAUX\ALLOCATION ACTIFS\PYTHON\Asset Allocation Plot\"/>
    </mc:Choice>
  </mc:AlternateContent>
  <xr:revisionPtr revIDLastSave="0" documentId="8_{F6A8B888-F934-4589-BC01-3C528525A244}" xr6:coauthVersionLast="47" xr6:coauthVersionMax="47" xr10:uidLastSave="{00000000-0000-0000-0000-000000000000}"/>
  <bookViews>
    <workbookView xWindow="-120" yWindow="-120" windowWidth="29040" windowHeight="15720" xr2:uid="{EBED52F3-D272-48B3-B156-FD76728AE774}"/>
  </bookViews>
  <sheets>
    <sheet name="Feuil5" sheetId="5" r:id="rId1"/>
    <sheet name="Feuil8" sheetId="8" r:id="rId2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N2" i="5"/>
  <c r="O2" i="5"/>
  <c r="P2" i="5"/>
  <c r="Q2" i="5"/>
  <c r="R2" i="5"/>
  <c r="S2" i="5"/>
  <c r="M3" i="5"/>
  <c r="N3" i="5"/>
  <c r="O3" i="5"/>
  <c r="P3" i="5"/>
  <c r="Q3" i="5"/>
  <c r="R3" i="5"/>
  <c r="S3" i="5"/>
  <c r="M4" i="5"/>
  <c r="N4" i="5"/>
  <c r="O4" i="5"/>
  <c r="P4" i="5"/>
  <c r="Q4" i="5"/>
  <c r="R4" i="5"/>
  <c r="S4" i="5"/>
  <c r="M5" i="5"/>
  <c r="N5" i="5"/>
  <c r="O5" i="5"/>
  <c r="P5" i="5"/>
  <c r="Q5" i="5"/>
  <c r="R5" i="5"/>
  <c r="S5" i="5"/>
  <c r="M6" i="5"/>
  <c r="N6" i="5"/>
  <c r="O6" i="5"/>
  <c r="P6" i="5"/>
  <c r="Q6" i="5"/>
  <c r="R6" i="5"/>
  <c r="S6" i="5"/>
  <c r="M7" i="5"/>
  <c r="N7" i="5"/>
  <c r="O7" i="5"/>
  <c r="P7" i="5"/>
  <c r="Q7" i="5"/>
  <c r="R7" i="5"/>
  <c r="S7" i="5"/>
  <c r="M8" i="5"/>
  <c r="N8" i="5"/>
  <c r="O8" i="5"/>
  <c r="P8" i="5"/>
  <c r="Q8" i="5"/>
  <c r="R8" i="5"/>
  <c r="S8" i="5"/>
  <c r="M9" i="5"/>
  <c r="N9" i="5"/>
  <c r="O9" i="5"/>
  <c r="P9" i="5"/>
  <c r="Q9" i="5"/>
  <c r="R9" i="5"/>
  <c r="S9" i="5"/>
  <c r="M10" i="5"/>
  <c r="N10" i="5"/>
  <c r="O10" i="5"/>
  <c r="P10" i="5"/>
  <c r="Q10" i="5"/>
  <c r="R10" i="5"/>
  <c r="S10" i="5"/>
  <c r="M11" i="5"/>
  <c r="N11" i="5"/>
  <c r="O11" i="5"/>
  <c r="P11" i="5"/>
  <c r="Q11" i="5"/>
  <c r="R11" i="5"/>
  <c r="S11" i="5"/>
  <c r="M12" i="5"/>
  <c r="N12" i="5"/>
  <c r="O12" i="5"/>
  <c r="P12" i="5"/>
  <c r="Q12" i="5"/>
  <c r="R12" i="5"/>
  <c r="S12" i="5"/>
  <c r="M13" i="5"/>
  <c r="N13" i="5"/>
  <c r="O13" i="5"/>
  <c r="P13" i="5"/>
  <c r="Q13" i="5"/>
  <c r="R13" i="5"/>
  <c r="S13" i="5"/>
  <c r="M14" i="5"/>
  <c r="N14" i="5"/>
  <c r="O14" i="5"/>
  <c r="P14" i="5"/>
  <c r="Q14" i="5"/>
  <c r="R14" i="5"/>
  <c r="S14" i="5"/>
  <c r="M15" i="5"/>
  <c r="N15" i="5"/>
  <c r="O15" i="5"/>
  <c r="P15" i="5"/>
  <c r="Q15" i="5"/>
  <c r="R15" i="5"/>
  <c r="S15" i="5"/>
  <c r="M16" i="5"/>
  <c r="N16" i="5"/>
  <c r="O16" i="5"/>
  <c r="P16" i="5"/>
  <c r="Q16" i="5"/>
  <c r="R16" i="5"/>
  <c r="S16" i="5"/>
  <c r="M17" i="5"/>
  <c r="N17" i="5"/>
  <c r="O17" i="5"/>
  <c r="P17" i="5"/>
  <c r="Q17" i="5"/>
  <c r="R17" i="5"/>
  <c r="S17" i="5"/>
  <c r="M18" i="5"/>
  <c r="N18" i="5"/>
  <c r="O18" i="5"/>
  <c r="P18" i="5"/>
  <c r="Q18" i="5"/>
  <c r="R18" i="5"/>
  <c r="S18" i="5"/>
  <c r="M19" i="5"/>
  <c r="N19" i="5"/>
  <c r="O19" i="5"/>
  <c r="P19" i="5"/>
  <c r="Q19" i="5"/>
  <c r="R19" i="5"/>
  <c r="S19" i="5"/>
  <c r="M20" i="5"/>
  <c r="N20" i="5"/>
  <c r="O20" i="5"/>
  <c r="P20" i="5"/>
  <c r="Q20" i="5"/>
  <c r="R20" i="5"/>
  <c r="S20" i="5"/>
  <c r="M21" i="5"/>
  <c r="N21" i="5"/>
  <c r="O21" i="5"/>
  <c r="P21" i="5"/>
  <c r="Q21" i="5"/>
  <c r="R21" i="5"/>
  <c r="S21" i="5"/>
  <c r="M22" i="5"/>
  <c r="N22" i="5"/>
  <c r="O22" i="5"/>
  <c r="P22" i="5"/>
  <c r="Q22" i="5"/>
  <c r="R22" i="5"/>
  <c r="S22" i="5"/>
  <c r="M23" i="5"/>
  <c r="N23" i="5"/>
  <c r="O23" i="5"/>
  <c r="P23" i="5"/>
  <c r="Q23" i="5"/>
  <c r="R23" i="5"/>
  <c r="S23" i="5"/>
  <c r="M24" i="5"/>
  <c r="N24" i="5"/>
  <c r="O24" i="5"/>
  <c r="P24" i="5"/>
  <c r="Q24" i="5"/>
  <c r="R24" i="5"/>
  <c r="S24" i="5"/>
  <c r="M25" i="5"/>
  <c r="N25" i="5"/>
  <c r="O25" i="5"/>
  <c r="P25" i="5"/>
  <c r="Q25" i="5"/>
  <c r="R25" i="5"/>
  <c r="S25" i="5"/>
  <c r="M26" i="5"/>
  <c r="N26" i="5"/>
  <c r="O26" i="5"/>
  <c r="P26" i="5"/>
  <c r="Q26" i="5"/>
  <c r="R26" i="5"/>
  <c r="S26" i="5"/>
  <c r="M27" i="5"/>
  <c r="N27" i="5"/>
  <c r="O27" i="5"/>
  <c r="P27" i="5"/>
  <c r="Q27" i="5"/>
  <c r="R27" i="5"/>
  <c r="S27" i="5"/>
  <c r="M28" i="5"/>
  <c r="N28" i="5"/>
  <c r="O28" i="5"/>
  <c r="P28" i="5"/>
  <c r="Q28" i="5"/>
  <c r="R28" i="5"/>
  <c r="S28" i="5"/>
  <c r="M29" i="5"/>
  <c r="N29" i="5"/>
  <c r="O29" i="5"/>
  <c r="P29" i="5"/>
  <c r="Q29" i="5"/>
  <c r="R29" i="5"/>
  <c r="S29" i="5"/>
  <c r="M30" i="5"/>
  <c r="N30" i="5"/>
  <c r="O30" i="5"/>
  <c r="P30" i="5"/>
  <c r="Q30" i="5"/>
  <c r="R30" i="5"/>
  <c r="S30" i="5"/>
  <c r="M31" i="5"/>
  <c r="N31" i="5"/>
  <c r="O31" i="5"/>
  <c r="P31" i="5"/>
  <c r="Q31" i="5"/>
  <c r="R31" i="5"/>
  <c r="S31" i="5"/>
  <c r="M32" i="5"/>
  <c r="N32" i="5"/>
  <c r="O32" i="5"/>
  <c r="P32" i="5"/>
  <c r="Q32" i="5"/>
  <c r="R32" i="5"/>
  <c r="S32" i="5"/>
  <c r="M33" i="5"/>
  <c r="N33" i="5"/>
  <c r="O33" i="5"/>
  <c r="P33" i="5"/>
  <c r="Q33" i="5"/>
  <c r="R33" i="5"/>
  <c r="S33" i="5"/>
  <c r="M34" i="5"/>
  <c r="N34" i="5"/>
  <c r="O34" i="5"/>
  <c r="P34" i="5"/>
  <c r="Q34" i="5"/>
  <c r="R34" i="5"/>
  <c r="S34" i="5"/>
  <c r="M35" i="5"/>
  <c r="N35" i="5"/>
  <c r="O35" i="5"/>
  <c r="P35" i="5"/>
  <c r="Q35" i="5"/>
  <c r="R35" i="5"/>
  <c r="S35" i="5"/>
  <c r="M36" i="5"/>
  <c r="N36" i="5"/>
  <c r="O36" i="5"/>
  <c r="P36" i="5"/>
  <c r="Q36" i="5"/>
  <c r="R36" i="5"/>
  <c r="S36" i="5"/>
  <c r="M37" i="5"/>
  <c r="N37" i="5"/>
  <c r="O37" i="5"/>
  <c r="P37" i="5"/>
  <c r="Q37" i="5"/>
  <c r="R37" i="5"/>
  <c r="S37" i="5"/>
  <c r="M38" i="5"/>
  <c r="N38" i="5"/>
  <c r="O38" i="5"/>
  <c r="P38" i="5"/>
  <c r="Q38" i="5"/>
  <c r="R38" i="5"/>
  <c r="S38" i="5"/>
  <c r="M39" i="5"/>
  <c r="N39" i="5"/>
  <c r="O39" i="5"/>
  <c r="P39" i="5"/>
  <c r="Q39" i="5"/>
  <c r="R39" i="5"/>
  <c r="S39" i="5"/>
  <c r="M40" i="5"/>
  <c r="N40" i="5"/>
  <c r="O40" i="5"/>
  <c r="P40" i="5"/>
  <c r="Q40" i="5"/>
  <c r="R40" i="5"/>
  <c r="S40" i="5"/>
  <c r="M41" i="5"/>
  <c r="N41" i="5"/>
  <c r="O41" i="5"/>
  <c r="P41" i="5"/>
  <c r="Q41" i="5"/>
  <c r="R41" i="5"/>
  <c r="S41" i="5"/>
  <c r="M42" i="5"/>
  <c r="N42" i="5"/>
  <c r="O42" i="5"/>
  <c r="P42" i="5"/>
  <c r="Q42" i="5"/>
  <c r="R42" i="5"/>
  <c r="S42" i="5"/>
  <c r="M43" i="5"/>
  <c r="N43" i="5"/>
  <c r="O43" i="5"/>
  <c r="P43" i="5"/>
  <c r="Q43" i="5"/>
  <c r="R43" i="5"/>
  <c r="S43" i="5"/>
  <c r="M44" i="5"/>
  <c r="N44" i="5"/>
  <c r="O44" i="5"/>
  <c r="P44" i="5"/>
  <c r="Q44" i="5"/>
  <c r="R44" i="5"/>
  <c r="S44" i="5"/>
  <c r="M45" i="5"/>
  <c r="N45" i="5"/>
  <c r="O45" i="5"/>
  <c r="P45" i="5"/>
  <c r="Q45" i="5"/>
  <c r="R45" i="5"/>
  <c r="S45" i="5"/>
  <c r="M46" i="5"/>
  <c r="N46" i="5"/>
  <c r="O46" i="5"/>
  <c r="P46" i="5"/>
  <c r="Q46" i="5"/>
  <c r="R46" i="5"/>
  <c r="S46" i="5"/>
  <c r="M47" i="5"/>
  <c r="N47" i="5"/>
  <c r="O47" i="5"/>
  <c r="P47" i="5"/>
  <c r="Q47" i="5"/>
  <c r="R47" i="5"/>
  <c r="S47" i="5"/>
  <c r="K3" i="5"/>
  <c r="A3" i="5" a="1"/>
  <c r="A3" i="5"/>
  <c r="K4" i="5"/>
  <c r="A4" i="5" a="1"/>
  <c r="A4" i="5"/>
  <c r="K5" i="5"/>
  <c r="A5" i="5" a="1"/>
  <c r="A5" i="5"/>
  <c r="K6" i="5"/>
  <c r="A6" i="5" a="1"/>
  <c r="A6" i="5"/>
  <c r="K7" i="5"/>
  <c r="A7" i="5" a="1"/>
  <c r="A7" i="5"/>
  <c r="K8" i="5"/>
  <c r="A8" i="5" a="1"/>
  <c r="A8" i="5"/>
  <c r="K9" i="5"/>
  <c r="A9" i="5" a="1"/>
  <c r="A9" i="5"/>
  <c r="K10" i="5"/>
  <c r="A10" i="5" a="1"/>
  <c r="A10" i="5"/>
  <c r="K11" i="5"/>
  <c r="A11" i="5" a="1"/>
  <c r="A11" i="5"/>
  <c r="K12" i="5"/>
  <c r="A12" i="5" a="1"/>
  <c r="A12" i="5"/>
  <c r="K13" i="5"/>
  <c r="A13" i="5" a="1"/>
  <c r="A13" i="5"/>
  <c r="K14" i="5"/>
  <c r="A14" i="5" a="1"/>
  <c r="A14" i="5"/>
  <c r="K15" i="5"/>
  <c r="A15" i="5" a="1"/>
  <c r="A15" i="5"/>
  <c r="K16" i="5"/>
  <c r="A16" i="5" a="1"/>
  <c r="A16" i="5"/>
  <c r="K17" i="5"/>
  <c r="A17" i="5" a="1"/>
  <c r="A17" i="5"/>
  <c r="K18" i="5"/>
  <c r="A18" i="5" a="1"/>
  <c r="A18" i="5"/>
  <c r="K19" i="5"/>
  <c r="A19" i="5" a="1"/>
  <c r="A19" i="5"/>
  <c r="K20" i="5"/>
  <c r="A20" i="5" a="1"/>
  <c r="A20" i="5"/>
  <c r="K21" i="5"/>
  <c r="A21" i="5" a="1"/>
  <c r="A21" i="5"/>
  <c r="K22" i="5"/>
  <c r="A22" i="5" a="1"/>
  <c r="A22" i="5"/>
  <c r="K23" i="5"/>
  <c r="A23" i="5" a="1"/>
  <c r="A23" i="5"/>
  <c r="K24" i="5"/>
  <c r="A24" i="5" a="1"/>
  <c r="A24" i="5"/>
  <c r="K25" i="5"/>
  <c r="A25" i="5" a="1"/>
  <c r="A25" i="5"/>
  <c r="K26" i="5"/>
  <c r="A26" i="5" a="1"/>
  <c r="A26" i="5"/>
  <c r="K27" i="5"/>
  <c r="A27" i="5" a="1"/>
  <c r="A27" i="5"/>
  <c r="K28" i="5"/>
  <c r="A28" i="5" a="1"/>
  <c r="A28" i="5"/>
  <c r="K29" i="5"/>
  <c r="A29" i="5" a="1"/>
  <c r="A29" i="5"/>
  <c r="K30" i="5"/>
  <c r="A30" i="5" a="1"/>
  <c r="A30" i="5"/>
  <c r="K31" i="5"/>
  <c r="A31" i="5" a="1"/>
  <c r="A31" i="5"/>
  <c r="K32" i="5"/>
  <c r="A32" i="5" a="1"/>
  <c r="A32" i="5"/>
  <c r="K33" i="5"/>
  <c r="A33" i="5" a="1"/>
  <c r="A33" i="5"/>
  <c r="K34" i="5"/>
  <c r="A34" i="5" a="1"/>
  <c r="A34" i="5"/>
  <c r="K35" i="5"/>
  <c r="A35" i="5" a="1"/>
  <c r="A35" i="5"/>
  <c r="K36" i="5"/>
  <c r="A36" i="5" a="1"/>
  <c r="A36" i="5"/>
  <c r="K37" i="5"/>
  <c r="A37" i="5" a="1"/>
  <c r="A37" i="5"/>
  <c r="K38" i="5"/>
  <c r="A38" i="5" a="1"/>
  <c r="A38" i="5"/>
  <c r="K39" i="5"/>
  <c r="A39" i="5" a="1"/>
  <c r="A39" i="5"/>
  <c r="K40" i="5"/>
  <c r="A40" i="5" a="1"/>
  <c r="A40" i="5"/>
  <c r="K41" i="5"/>
  <c r="A41" i="5" a="1"/>
  <c r="A41" i="5"/>
  <c r="K42" i="5"/>
  <c r="A42" i="5" a="1"/>
  <c r="A42" i="5"/>
  <c r="K43" i="5"/>
  <c r="A43" i="5" a="1"/>
  <c r="A43" i="5"/>
  <c r="K44" i="5"/>
  <c r="A44" i="5" a="1"/>
  <c r="A44" i="5"/>
  <c r="K45" i="5"/>
  <c r="A45" i="5" a="1"/>
  <c r="A45" i="5"/>
  <c r="K46" i="5"/>
  <c r="A46" i="5" a="1"/>
  <c r="A46" i="5"/>
  <c r="K47" i="5"/>
  <c r="A47" i="5" a="1"/>
  <c r="A47" i="5"/>
  <c r="K2" i="5"/>
  <c r="A2" i="5" a="1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<sst xmlns="http://schemas.openxmlformats.org/spreadsheetml/2006/main" count="18" uniqueCount="11">
  <si>
    <t>perf</t>
  </si>
  <si>
    <t>risk</t>
  </si>
  <si>
    <t>Actions EU</t>
  </si>
  <si>
    <t>Actions US</t>
  </si>
  <si>
    <t>Actions EM</t>
  </si>
  <si>
    <t>HY EU</t>
  </si>
  <si>
    <t>Diversification</t>
  </si>
  <si>
    <t>Actions JA</t>
  </si>
  <si>
    <t>Oblig Diversifiées</t>
  </si>
  <si>
    <t>TOTAL</t>
  </si>
  <si>
    <t>Perfs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</si>
</sst>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  <xf numFmtId="10" fontId="0" fillId="0" borderId="0" xfId="0" applyNumberFormat="1"/>
    <xf numFmtId="164" fontId="0" fillId="0" borderId="0" xfId="1" applyNumberFormat="1" applyFont="1" applyAlignment="1">
      <alignment horizontal="center"/>
    </xf>
    <xf numFmtId="11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Feuil5!$M$1</c:f>
              <c:strCache>
                <c:ptCount val="1"/>
                <c:pt idx="0">
                  <c:v>Actions 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Feuil5!$M$2:$M$47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1.5860328923216521E-17</c:v>
                </c:pt>
                <c:pt idx="12">
                  <c:v>0</c:v>
                </c:pt>
                <c:pt idx="13">
                  <c:v>1.2855142857142862E-2</c:v>
                </c:pt>
                <c:pt idx="14">
                  <c:v>2.7176142857142843E-2</c:v>
                </c:pt>
                <c:pt idx="15">
                  <c:v>4.0972000000000001E-2</c:v>
                </c:pt>
                <c:pt idx="16">
                  <c:v>4.9870999999999999E-2</c:v>
                </c:pt>
                <c:pt idx="17">
                  <c:v>5.9034000000000003E-2</c:v>
                </c:pt>
                <c:pt idx="18">
                  <c:v>6.8196142857142858E-2</c:v>
                </c:pt>
                <c:pt idx="19">
                  <c:v>7.7358999999999997E-2</c:v>
                </c:pt>
                <c:pt idx="20">
                  <c:v>8.6522000000000002E-2</c:v>
                </c:pt>
                <c:pt idx="21">
                  <c:v>9.5685000000000006E-2</c:v>
                </c:pt>
                <c:pt idx="22">
                  <c:v>0.13630614285714288</c:v>
                </c:pt>
                <c:pt idx="23">
                  <c:v>0.18597014285714286</c:v>
                </c:pt>
                <c:pt idx="24">
                  <c:v>0.21201228571428571</c:v>
                </c:pt>
                <c:pt idx="25">
                  <c:v>0.23805414285714283</c:v>
                </c:pt>
                <c:pt idx="26">
                  <c:v>0.26409514285714286</c:v>
                </c:pt>
                <c:pt idx="27">
                  <c:v>0.29013714285714282</c:v>
                </c:pt>
                <c:pt idx="28">
                  <c:v>0.31617899999999999</c:v>
                </c:pt>
                <c:pt idx="29">
                  <c:v>0.342221</c:v>
                </c:pt>
                <c:pt idx="30">
                  <c:v>0.37880742857142857</c:v>
                </c:pt>
                <c:pt idx="31">
                  <c:v>0.36826300000000001</c:v>
                </c:pt>
                <c:pt idx="32">
                  <c:v>0.38099314285714281</c:v>
                </c:pt>
                <c:pt idx="33">
                  <c:v>0.38340085714285715</c:v>
                </c:pt>
                <c:pt idx="34">
                  <c:v>0.38606742857142862</c:v>
                </c:pt>
                <c:pt idx="35">
                  <c:v>0.38903571428571432</c:v>
                </c:pt>
                <c:pt idx="36">
                  <c:v>0.39236057142857139</c:v>
                </c:pt>
                <c:pt idx="37">
                  <c:v>0.39611057142857142</c:v>
                </c:pt>
                <c:pt idx="38">
                  <c:v>0.40037228571428568</c:v>
                </c:pt>
                <c:pt idx="39">
                  <c:v>0.40525885714285714</c:v>
                </c:pt>
                <c:pt idx="40">
                  <c:v>0.40657457142857145</c:v>
                </c:pt>
                <c:pt idx="41">
                  <c:v>0.40558957142857144</c:v>
                </c:pt>
                <c:pt idx="42">
                  <c:v>0.40444042857142859</c:v>
                </c:pt>
                <c:pt idx="43">
                  <c:v>0.4</c:v>
                </c:pt>
                <c:pt idx="44">
                  <c:v>0.40308242857142856</c:v>
                </c:pt>
                <c:pt idx="45">
                  <c:v>0.401453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1B-492A-BB8F-90DF780A23CB}"/>
            </c:ext>
          </c:extLst>
        </c:ser>
        <c:ser>
          <c:idx val="1"/>
          <c:order val="1"/>
          <c:tx>
            <c:strRef>
              <c:f>Feuil5!$N$1</c:f>
              <c:strCache>
                <c:ptCount val="1"/>
                <c:pt idx="0">
                  <c:v>Actions US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Feuil5!$N$2:$N$47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1.5860328923216521E-17</c:v>
                </c:pt>
                <c:pt idx="12">
                  <c:v>0</c:v>
                </c:pt>
                <c:pt idx="13">
                  <c:v>1.428571428612508E-7</c:v>
                </c:pt>
                <c:pt idx="14">
                  <c:v>1.4285714284539048E-7</c:v>
                </c:pt>
                <c:pt idx="15">
                  <c:v>8.2600000000000002E-4</c:v>
                </c:pt>
                <c:pt idx="16">
                  <c:v>1.2789E-2</c:v>
                </c:pt>
                <c:pt idx="17">
                  <c:v>2.7067999999999998E-2</c:v>
                </c:pt>
                <c:pt idx="18">
                  <c:v>4.1347142857142846E-2</c:v>
                </c:pt>
                <c:pt idx="19">
                  <c:v>5.5627000000000003E-2</c:v>
                </c:pt>
                <c:pt idx="20">
                  <c:v>6.9905999999999996E-2</c:v>
                </c:pt>
                <c:pt idx="21">
                  <c:v>8.4184999999999996E-2</c:v>
                </c:pt>
                <c:pt idx="22">
                  <c:v>0.11699414285714287</c:v>
                </c:pt>
                <c:pt idx="23">
                  <c:v>0.15644514285714287</c:v>
                </c:pt>
                <c:pt idx="24">
                  <c:v>0.18808928571428571</c:v>
                </c:pt>
                <c:pt idx="25">
                  <c:v>0.21973314285714285</c:v>
                </c:pt>
                <c:pt idx="26">
                  <c:v>0.25137614285714283</c:v>
                </c:pt>
                <c:pt idx="27">
                  <c:v>0.28302014285714283</c:v>
                </c:pt>
                <c:pt idx="28">
                  <c:v>0.314664</c:v>
                </c:pt>
                <c:pt idx="29">
                  <c:v>0.34630699999999998</c:v>
                </c:pt>
                <c:pt idx="30">
                  <c:v>0.4118654285714286</c:v>
                </c:pt>
                <c:pt idx="31">
                  <c:v>0.37795099999999998</c:v>
                </c:pt>
                <c:pt idx="32">
                  <c:v>0.41150114285714284</c:v>
                </c:pt>
                <c:pt idx="33">
                  <c:v>0.41109985714285718</c:v>
                </c:pt>
                <c:pt idx="34">
                  <c:v>0.41065542857142862</c:v>
                </c:pt>
                <c:pt idx="35">
                  <c:v>0.41016071428571432</c:v>
                </c:pt>
                <c:pt idx="36">
                  <c:v>0.40960657142857143</c:v>
                </c:pt>
                <c:pt idx="37">
                  <c:v>0.40898157142857144</c:v>
                </c:pt>
                <c:pt idx="38">
                  <c:v>0.40827128571428573</c:v>
                </c:pt>
                <c:pt idx="39">
                  <c:v>0.40745685714285718</c:v>
                </c:pt>
                <c:pt idx="40">
                  <c:v>0.40657457142857145</c:v>
                </c:pt>
                <c:pt idx="41">
                  <c:v>0.40558957142857144</c:v>
                </c:pt>
                <c:pt idx="42">
                  <c:v>0.40444042857142859</c:v>
                </c:pt>
                <c:pt idx="43">
                  <c:v>0.4</c:v>
                </c:pt>
                <c:pt idx="44">
                  <c:v>0.40308242857142856</c:v>
                </c:pt>
                <c:pt idx="45">
                  <c:v>0.401453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1B-492A-BB8F-90DF780A23CB}"/>
            </c:ext>
          </c:extLst>
        </c:ser>
        <c:ser>
          <c:idx val="2"/>
          <c:order val="2"/>
          <c:tx>
            <c:strRef>
              <c:f>Feuil5!$O$1</c:f>
              <c:strCache>
                <c:ptCount val="1"/>
                <c:pt idx="0">
                  <c:v>Actions JA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Feuil5!$O$2:$O$47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1.7957000000000001E-2</c:v>
                </c:pt>
                <c:pt idx="8">
                  <c:v>2.8622000000000002E-2</c:v>
                </c:pt>
                <c:pt idx="9">
                  <c:v>3.4664E-2</c:v>
                </c:pt>
                <c:pt idx="10">
                  <c:v>4.0705999999999999E-2</c:v>
                </c:pt>
                <c:pt idx="11">
                  <c:v>4.8107000000000011E-2</c:v>
                </c:pt>
                <c:pt idx="12">
                  <c:v>6.2504000000000004E-2</c:v>
                </c:pt>
                <c:pt idx="13">
                  <c:v>7.3974142857142863E-2</c:v>
                </c:pt>
                <c:pt idx="14">
                  <c:v>8.5111142857142857E-2</c:v>
                </c:pt>
                <c:pt idx="15">
                  <c:v>9.6046000000000006E-2</c:v>
                </c:pt>
                <c:pt idx="16">
                  <c:v>0.1</c:v>
                </c:pt>
                <c:pt idx="17">
                  <c:v>0.1</c:v>
                </c:pt>
                <c:pt idx="18">
                  <c:v>0.10000014285714286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0.10000014285714287</c:v>
                </c:pt>
                <c:pt idx="23">
                  <c:v>0.10000014285714287</c:v>
                </c:pt>
                <c:pt idx="24">
                  <c:v>0.10000028571428571</c:v>
                </c:pt>
                <c:pt idx="25">
                  <c:v>0.10000014285714286</c:v>
                </c:pt>
                <c:pt idx="26">
                  <c:v>0.10000014285714286</c:v>
                </c:pt>
                <c:pt idx="27">
                  <c:v>0.10000014285714287</c:v>
                </c:pt>
                <c:pt idx="28">
                  <c:v>0.1</c:v>
                </c:pt>
                <c:pt idx="29">
                  <c:v>0.1</c:v>
                </c:pt>
                <c:pt idx="30">
                  <c:v>0.11186542857142857</c:v>
                </c:pt>
                <c:pt idx="31">
                  <c:v>0.1</c:v>
                </c:pt>
                <c:pt idx="32">
                  <c:v>0.11150114285714285</c:v>
                </c:pt>
                <c:pt idx="33">
                  <c:v>0.11109985714285714</c:v>
                </c:pt>
                <c:pt idx="34">
                  <c:v>0.11065542857142857</c:v>
                </c:pt>
                <c:pt idx="35">
                  <c:v>0.11016071428571429</c:v>
                </c:pt>
                <c:pt idx="36">
                  <c:v>0.10960657142857144</c:v>
                </c:pt>
                <c:pt idx="37">
                  <c:v>0.10898157142857144</c:v>
                </c:pt>
                <c:pt idx="38">
                  <c:v>0.10827128571428572</c:v>
                </c:pt>
                <c:pt idx="39">
                  <c:v>0.10745685714285715</c:v>
                </c:pt>
                <c:pt idx="40">
                  <c:v>0.10657457142857142</c:v>
                </c:pt>
                <c:pt idx="41">
                  <c:v>0.10558957142857142</c:v>
                </c:pt>
                <c:pt idx="42">
                  <c:v>0.10444042857142857</c:v>
                </c:pt>
                <c:pt idx="43">
                  <c:v>0.1</c:v>
                </c:pt>
                <c:pt idx="44">
                  <c:v>0.10308242857142857</c:v>
                </c:pt>
                <c:pt idx="45">
                  <c:v>0.101453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1B-492A-BB8F-90DF780A23CB}"/>
            </c:ext>
          </c:extLst>
        </c:ser>
        <c:ser>
          <c:idx val="3"/>
          <c:order val="3"/>
          <c:tx>
            <c:strRef>
              <c:f>Feuil5!$P$1</c:f>
              <c:strCache>
                <c:ptCount val="1"/>
                <c:pt idx="0">
                  <c:v>Actions EM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Feuil5!$P$2:$P$47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0</c:v>
                </c:pt>
                <c:pt idx="8">
                  <c:v>8.1700000000000002E-4</c:v>
                </c:pt>
                <c:pt idx="9">
                  <c:v>1.8152000000000001E-2</c:v>
                </c:pt>
                <c:pt idx="10">
                  <c:v>3.5485999999999997E-2</c:v>
                </c:pt>
                <c:pt idx="11">
                  <c:v>5.0000000000000017E-2</c:v>
                </c:pt>
                <c:pt idx="12">
                  <c:v>0.05</c:v>
                </c:pt>
                <c:pt idx="13">
                  <c:v>5.0000142857142861E-2</c:v>
                </c:pt>
                <c:pt idx="14">
                  <c:v>5.0000142857142847E-2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5.0000142857142847E-2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5.0000142857142861E-2</c:v>
                </c:pt>
                <c:pt idx="23">
                  <c:v>5.0000142857142861E-2</c:v>
                </c:pt>
                <c:pt idx="24">
                  <c:v>5.0000285714285712E-2</c:v>
                </c:pt>
                <c:pt idx="25">
                  <c:v>5.0000142857142847E-2</c:v>
                </c:pt>
                <c:pt idx="26">
                  <c:v>5.0000142857142847E-2</c:v>
                </c:pt>
                <c:pt idx="27">
                  <c:v>5.0000142857142861E-2</c:v>
                </c:pt>
                <c:pt idx="28">
                  <c:v>0.05</c:v>
                </c:pt>
                <c:pt idx="29">
                  <c:v>0.05</c:v>
                </c:pt>
                <c:pt idx="30">
                  <c:v>6.1865428571428571E-2</c:v>
                </c:pt>
                <c:pt idx="31">
                  <c:v>0.05</c:v>
                </c:pt>
                <c:pt idx="32">
                  <c:v>6.1501142857142851E-2</c:v>
                </c:pt>
                <c:pt idx="33">
                  <c:v>6.1099857142857136E-2</c:v>
                </c:pt>
                <c:pt idx="34">
                  <c:v>6.0655428571428568E-2</c:v>
                </c:pt>
                <c:pt idx="35">
                  <c:v>6.016071428571429E-2</c:v>
                </c:pt>
                <c:pt idx="36">
                  <c:v>5.9606571428571439E-2</c:v>
                </c:pt>
                <c:pt idx="37">
                  <c:v>5.8981571428571432E-2</c:v>
                </c:pt>
                <c:pt idx="38">
                  <c:v>5.827128571428572E-2</c:v>
                </c:pt>
                <c:pt idx="39">
                  <c:v>5.7456857142857143E-2</c:v>
                </c:pt>
                <c:pt idx="40">
                  <c:v>5.6574571428571419E-2</c:v>
                </c:pt>
                <c:pt idx="41">
                  <c:v>5.5589571428571419E-2</c:v>
                </c:pt>
                <c:pt idx="42">
                  <c:v>5.444042857142857E-2</c:v>
                </c:pt>
                <c:pt idx="43">
                  <c:v>0.05</c:v>
                </c:pt>
                <c:pt idx="44">
                  <c:v>5.3082428571428565E-2</c:v>
                </c:pt>
                <c:pt idx="45">
                  <c:v>5.1452999999999992E-2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1B-492A-BB8F-90DF780A23CB}"/>
            </c:ext>
          </c:extLst>
        </c:ser>
        <c:ser>
          <c:idx val="4"/>
          <c:order val="4"/>
          <c:tx>
            <c:strRef>
              <c:f>Feuil5!$Q$1</c:f>
              <c:strCache>
                <c:ptCount val="1"/>
                <c:pt idx="0">
                  <c:v>HY EU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Feuil5!$Q$2:$Q$47</c:f>
              <c:numCache>
                <c:formatCode>0.0%</c:formatCode>
                <c:ptCount val="46"/>
                <c:pt idx="0">
                  <c:v>0.46406771428571431</c:v>
                </c:pt>
                <c:pt idx="1">
                  <c:v>0.46807828571428572</c:v>
                </c:pt>
                <c:pt idx="2">
                  <c:v>0.47251057142857139</c:v>
                </c:pt>
                <c:pt idx="3">
                  <c:v>0.47743485714285716</c:v>
                </c:pt>
                <c:pt idx="4">
                  <c:v>0.48293600000000003</c:v>
                </c:pt>
                <c:pt idx="5">
                  <c:v>0.48912371428571427</c:v>
                </c:pt>
                <c:pt idx="6">
                  <c:v>0.49613342857142856</c:v>
                </c:pt>
                <c:pt idx="7">
                  <c:v>0.48276599999999997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0.50000014285714289</c:v>
                </c:pt>
                <c:pt idx="14">
                  <c:v>0.50000014285714289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0.50000014285714289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0.50000014285714289</c:v>
                </c:pt>
                <c:pt idx="23">
                  <c:v>0.49008514285714283</c:v>
                </c:pt>
                <c:pt idx="24">
                  <c:v>0.43415728571428575</c:v>
                </c:pt>
                <c:pt idx="25">
                  <c:v>0.37822814285714285</c:v>
                </c:pt>
                <c:pt idx="26">
                  <c:v>0.32229914285714284</c:v>
                </c:pt>
                <c:pt idx="27">
                  <c:v>0.26637014285714283</c:v>
                </c:pt>
                <c:pt idx="28">
                  <c:v>0.21044199999999999</c:v>
                </c:pt>
                <c:pt idx="29">
                  <c:v>0.15451300000000001</c:v>
                </c:pt>
                <c:pt idx="30">
                  <c:v>1.1865428571428567E-2</c:v>
                </c:pt>
                <c:pt idx="31">
                  <c:v>9.8584000000000005E-2</c:v>
                </c:pt>
                <c:pt idx="32">
                  <c:v>1.1501142857142845E-2</c:v>
                </c:pt>
                <c:pt idx="33">
                  <c:v>1.1099857142857137E-2</c:v>
                </c:pt>
                <c:pt idx="34">
                  <c:v>1.0655428571428569E-2</c:v>
                </c:pt>
                <c:pt idx="35">
                  <c:v>1.0160714285714285E-2</c:v>
                </c:pt>
                <c:pt idx="36">
                  <c:v>9.6065714285714331E-3</c:v>
                </c:pt>
                <c:pt idx="37">
                  <c:v>8.9815714285714308E-3</c:v>
                </c:pt>
                <c:pt idx="38">
                  <c:v>8.2712857142857189E-3</c:v>
                </c:pt>
                <c:pt idx="39">
                  <c:v>7.4568571428571383E-3</c:v>
                </c:pt>
                <c:pt idx="40">
                  <c:v>6.574571428571414E-3</c:v>
                </c:pt>
                <c:pt idx="41">
                  <c:v>5.589571428571416E-3</c:v>
                </c:pt>
                <c:pt idx="42">
                  <c:v>4.4404285714285674E-3</c:v>
                </c:pt>
                <c:pt idx="43">
                  <c:v>3.5714000000000003E-2</c:v>
                </c:pt>
                <c:pt idx="44">
                  <c:v>3.0824285714285654E-3</c:v>
                </c:pt>
                <c:pt idx="45">
                  <c:v>1.4529999999999901E-3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F1B-492A-BB8F-90DF780A23CB}"/>
            </c:ext>
          </c:extLst>
        </c:ser>
        <c:ser>
          <c:idx val="5"/>
          <c:order val="5"/>
          <c:tx>
            <c:strRef>
              <c:f>Feuil5!$R$1</c:f>
              <c:strCache>
                <c:ptCount val="1"/>
                <c:pt idx="0">
                  <c:v>Oblig Diversifiées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Feuil5!$R$2:$R$47</c:f>
              <c:numCache>
                <c:formatCode>0.0%</c:formatCode>
                <c:ptCount val="46"/>
                <c:pt idx="0">
                  <c:v>0.50598871428571424</c:v>
                </c:pt>
                <c:pt idx="1">
                  <c:v>0.50532028571428567</c:v>
                </c:pt>
                <c:pt idx="2">
                  <c:v>0.50458157142857141</c:v>
                </c:pt>
                <c:pt idx="3">
                  <c:v>0.50376085714285712</c:v>
                </c:pt>
                <c:pt idx="4">
                  <c:v>0.50284399999999996</c:v>
                </c:pt>
                <c:pt idx="5">
                  <c:v>0.50181271428571428</c:v>
                </c:pt>
                <c:pt idx="6">
                  <c:v>0.50064442857142855</c:v>
                </c:pt>
                <c:pt idx="7">
                  <c:v>0.49539699999999998</c:v>
                </c:pt>
                <c:pt idx="8">
                  <c:v>0.44891900000000001</c:v>
                </c:pt>
                <c:pt idx="9">
                  <c:v>0.42542099999999999</c:v>
                </c:pt>
                <c:pt idx="10">
                  <c:v>0.401922</c:v>
                </c:pt>
                <c:pt idx="11">
                  <c:v>0.37598599999999999</c:v>
                </c:pt>
                <c:pt idx="12">
                  <c:v>0.337503</c:v>
                </c:pt>
                <c:pt idx="13">
                  <c:v>0.30310714285714285</c:v>
                </c:pt>
                <c:pt idx="14">
                  <c:v>0.26917714285714284</c:v>
                </c:pt>
                <c:pt idx="15">
                  <c:v>0.23527699999999999</c:v>
                </c:pt>
                <c:pt idx="16">
                  <c:v>0.19946900000000001</c:v>
                </c:pt>
                <c:pt idx="17">
                  <c:v>0.16190399999999999</c:v>
                </c:pt>
                <c:pt idx="18">
                  <c:v>0.12433914285714286</c:v>
                </c:pt>
                <c:pt idx="19">
                  <c:v>8.6774000000000004E-2</c:v>
                </c:pt>
                <c:pt idx="20">
                  <c:v>4.9209000000000003E-2</c:v>
                </c:pt>
                <c:pt idx="21">
                  <c:v>1.1644E-2</c:v>
                </c:pt>
                <c:pt idx="22">
                  <c:v>1.428571428612508E-7</c:v>
                </c:pt>
                <c:pt idx="23">
                  <c:v>1.428571428612508E-7</c:v>
                </c:pt>
                <c:pt idx="24">
                  <c:v>2.8571428570664127E-7</c:v>
                </c:pt>
                <c:pt idx="25">
                  <c:v>1.4285714284539048E-7</c:v>
                </c:pt>
                <c:pt idx="26">
                  <c:v>1.4285714284539048E-7</c:v>
                </c:pt>
                <c:pt idx="27">
                  <c:v>1.428571428612508E-7</c:v>
                </c:pt>
                <c:pt idx="28">
                  <c:v>0</c:v>
                </c:pt>
                <c:pt idx="29">
                  <c:v>0</c:v>
                </c:pt>
                <c:pt idx="30">
                  <c:v>1.1865428571428567E-2</c:v>
                </c:pt>
                <c:pt idx="31">
                  <c:v>0</c:v>
                </c:pt>
                <c:pt idx="32">
                  <c:v>1.1501142857142845E-2</c:v>
                </c:pt>
                <c:pt idx="33">
                  <c:v>1.1099857142857137E-2</c:v>
                </c:pt>
                <c:pt idx="34">
                  <c:v>1.0655428571428569E-2</c:v>
                </c:pt>
                <c:pt idx="35">
                  <c:v>1.0160714285714285E-2</c:v>
                </c:pt>
                <c:pt idx="36">
                  <c:v>9.6065714285714331E-3</c:v>
                </c:pt>
                <c:pt idx="37">
                  <c:v>8.9815714285714308E-3</c:v>
                </c:pt>
                <c:pt idx="38">
                  <c:v>8.2712857142857189E-3</c:v>
                </c:pt>
                <c:pt idx="39">
                  <c:v>7.4568571428571383E-3</c:v>
                </c:pt>
                <c:pt idx="40">
                  <c:v>6.574571428571414E-3</c:v>
                </c:pt>
                <c:pt idx="41">
                  <c:v>5.589571428571416E-3</c:v>
                </c:pt>
                <c:pt idx="42">
                  <c:v>4.4404285714285674E-3</c:v>
                </c:pt>
                <c:pt idx="43">
                  <c:v>0</c:v>
                </c:pt>
                <c:pt idx="44">
                  <c:v>3.0824285714285654E-3</c:v>
                </c:pt>
                <c:pt idx="45">
                  <c:v>1.4529999999999901E-3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1B-492A-BB8F-90DF780A23CB}"/>
            </c:ext>
          </c:extLst>
        </c:ser>
        <c:ser>
          <c:idx val="6"/>
          <c:order val="6"/>
          <c:tx>
            <c:strRef>
              <c:f>Feuil5!$S$1</c:f>
              <c:strCache>
                <c:ptCount val="1"/>
                <c:pt idx="0">
                  <c:v>Diversification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cat>
          <c:val>
            <c:numRef>
              <c:f>Feuil5!$S$2:$S$47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3.8800000000000002E-3</c:v>
                </c:pt>
                <c:pt idx="8">
                  <c:v>2.1642000000000002E-2</c:v>
                </c:pt>
                <c:pt idx="9">
                  <c:v>2.1763000000000001E-2</c:v>
                </c:pt>
                <c:pt idx="10">
                  <c:v>2.1885999999999999E-2</c:v>
                </c:pt>
                <c:pt idx="11">
                  <c:v>2.5907000000000017E-2</c:v>
                </c:pt>
                <c:pt idx="12">
                  <c:v>4.9993000000000003E-2</c:v>
                </c:pt>
                <c:pt idx="13">
                  <c:v>6.0063142857142857E-2</c:v>
                </c:pt>
                <c:pt idx="14">
                  <c:v>6.853514285714285E-2</c:v>
                </c:pt>
                <c:pt idx="15">
                  <c:v>7.6879000000000003E-2</c:v>
                </c:pt>
                <c:pt idx="16">
                  <c:v>8.7871000000000005E-2</c:v>
                </c:pt>
                <c:pt idx="17">
                  <c:v>0.101994</c:v>
                </c:pt>
                <c:pt idx="18">
                  <c:v>0.11611714285714285</c:v>
                </c:pt>
                <c:pt idx="19">
                  <c:v>0.13023999999999999</c:v>
                </c:pt>
                <c:pt idx="20">
                  <c:v>0.14436299999999999</c:v>
                </c:pt>
                <c:pt idx="21">
                  <c:v>0.15848599999999999</c:v>
                </c:pt>
                <c:pt idx="22">
                  <c:v>9.6699142857142859E-2</c:v>
                </c:pt>
                <c:pt idx="23">
                  <c:v>1.7499142857142862E-2</c:v>
                </c:pt>
                <c:pt idx="24">
                  <c:v>1.5740285714285707E-2</c:v>
                </c:pt>
                <c:pt idx="25">
                  <c:v>1.3984142857142846E-2</c:v>
                </c:pt>
                <c:pt idx="26">
                  <c:v>1.2229142857142846E-2</c:v>
                </c:pt>
                <c:pt idx="27">
                  <c:v>1.0472142857142862E-2</c:v>
                </c:pt>
                <c:pt idx="28">
                  <c:v>8.7150000000000005E-3</c:v>
                </c:pt>
                <c:pt idx="29">
                  <c:v>6.9589999999999999E-3</c:v>
                </c:pt>
                <c:pt idx="30">
                  <c:v>1.1865428571428567E-2</c:v>
                </c:pt>
                <c:pt idx="31">
                  <c:v>5.202E-3</c:v>
                </c:pt>
                <c:pt idx="32">
                  <c:v>1.1501142857142845E-2</c:v>
                </c:pt>
                <c:pt idx="33">
                  <c:v>1.1099857142857137E-2</c:v>
                </c:pt>
                <c:pt idx="34">
                  <c:v>1.0655428571428569E-2</c:v>
                </c:pt>
                <c:pt idx="35">
                  <c:v>1.0160714285714285E-2</c:v>
                </c:pt>
                <c:pt idx="36">
                  <c:v>9.6065714285714331E-3</c:v>
                </c:pt>
                <c:pt idx="37">
                  <c:v>8.9815714285714308E-3</c:v>
                </c:pt>
                <c:pt idx="38">
                  <c:v>8.2712857142857189E-3</c:v>
                </c:pt>
                <c:pt idx="39">
                  <c:v>7.4568571428571383E-3</c:v>
                </c:pt>
                <c:pt idx="40">
                  <c:v>1.0552571428571415E-2</c:v>
                </c:pt>
                <c:pt idx="41">
                  <c:v>1.6462571428571417E-2</c:v>
                </c:pt>
                <c:pt idx="42">
                  <c:v>2.3357428571428567E-2</c:v>
                </c:pt>
                <c:pt idx="43">
                  <c:v>1.4286E-2</c:v>
                </c:pt>
                <c:pt idx="44">
                  <c:v>3.1505428571428566E-2</c:v>
                </c:pt>
                <c:pt idx="45">
                  <c:v>4.1281999999999992E-2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F1B-492A-BB8F-90DF780A2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906576"/>
        <c:axId val="1301907536"/>
      </c:areaChart>
      <c:catAx>
        <c:axId val="1301906576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907536"/>
        <c:crosses val="autoZero"/>
        <c:auto val="1"/>
        <c:lblAlgn val="ctr"/>
        <c:lblOffset val="100"/>
        <c:noMultiLvlLbl val="0"/>
      </c:catAx>
      <c:valAx>
        <c:axId val="1301907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90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Feuil5!$M$1</c:f>
              <c:strCache>
                <c:ptCount val="1"/>
                <c:pt idx="0">
                  <c:v>Actions 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Feuil5!$M$2:$M$47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1.5860328923216521E-17</c:v>
                </c:pt>
                <c:pt idx="12">
                  <c:v>0</c:v>
                </c:pt>
                <c:pt idx="13">
                  <c:v>1.2855142857142862E-2</c:v>
                </c:pt>
                <c:pt idx="14">
                  <c:v>2.7176142857142843E-2</c:v>
                </c:pt>
                <c:pt idx="15">
                  <c:v>4.0972000000000001E-2</c:v>
                </c:pt>
                <c:pt idx="16">
                  <c:v>4.9870999999999999E-2</c:v>
                </c:pt>
                <c:pt idx="17">
                  <c:v>5.9034000000000003E-2</c:v>
                </c:pt>
                <c:pt idx="18">
                  <c:v>6.8196142857142858E-2</c:v>
                </c:pt>
                <c:pt idx="19">
                  <c:v>7.7358999999999997E-2</c:v>
                </c:pt>
                <c:pt idx="20">
                  <c:v>8.6522000000000002E-2</c:v>
                </c:pt>
                <c:pt idx="21">
                  <c:v>9.5685000000000006E-2</c:v>
                </c:pt>
                <c:pt idx="22">
                  <c:v>0.13630614285714288</c:v>
                </c:pt>
                <c:pt idx="23">
                  <c:v>0.18597014285714286</c:v>
                </c:pt>
                <c:pt idx="24">
                  <c:v>0.21201228571428571</c:v>
                </c:pt>
                <c:pt idx="25">
                  <c:v>0.23805414285714283</c:v>
                </c:pt>
                <c:pt idx="26">
                  <c:v>0.26409514285714286</c:v>
                </c:pt>
                <c:pt idx="27">
                  <c:v>0.29013714285714282</c:v>
                </c:pt>
                <c:pt idx="28">
                  <c:v>0.31617899999999999</c:v>
                </c:pt>
                <c:pt idx="29">
                  <c:v>0.342221</c:v>
                </c:pt>
                <c:pt idx="30">
                  <c:v>0.37880742857142857</c:v>
                </c:pt>
                <c:pt idx="31">
                  <c:v>0.36826300000000001</c:v>
                </c:pt>
                <c:pt idx="32">
                  <c:v>0.38099314285714281</c:v>
                </c:pt>
                <c:pt idx="33">
                  <c:v>0.38340085714285715</c:v>
                </c:pt>
                <c:pt idx="34">
                  <c:v>0.38606742857142862</c:v>
                </c:pt>
                <c:pt idx="35">
                  <c:v>0.38903571428571432</c:v>
                </c:pt>
                <c:pt idx="36">
                  <c:v>0.39236057142857139</c:v>
                </c:pt>
                <c:pt idx="37">
                  <c:v>0.39611057142857142</c:v>
                </c:pt>
                <c:pt idx="38">
                  <c:v>0.40037228571428568</c:v>
                </c:pt>
                <c:pt idx="39">
                  <c:v>0.40525885714285714</c:v>
                </c:pt>
                <c:pt idx="40">
                  <c:v>0.40657457142857145</c:v>
                </c:pt>
                <c:pt idx="41">
                  <c:v>0.40558957142857144</c:v>
                </c:pt>
                <c:pt idx="42">
                  <c:v>0.40444042857142859</c:v>
                </c:pt>
                <c:pt idx="43">
                  <c:v>0.4</c:v>
                </c:pt>
                <c:pt idx="44">
                  <c:v>0.40308242857142856</c:v>
                </c:pt>
                <c:pt idx="45">
                  <c:v>0.401453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80-4F58-963C-DD758E009D56}"/>
            </c:ext>
          </c:extLst>
        </c:ser>
        <c:ser>
          <c:idx val="1"/>
          <c:order val="1"/>
          <c:tx>
            <c:strRef>
              <c:f>Feuil5!$N$1</c:f>
              <c:strCache>
                <c:ptCount val="1"/>
                <c:pt idx="0">
                  <c:v>Actions US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Feuil5!$N$2:$N$47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1.5860328923216521E-17</c:v>
                </c:pt>
                <c:pt idx="12">
                  <c:v>0</c:v>
                </c:pt>
                <c:pt idx="13">
                  <c:v>1.428571428612508E-7</c:v>
                </c:pt>
                <c:pt idx="14">
                  <c:v>1.4285714284539048E-7</c:v>
                </c:pt>
                <c:pt idx="15">
                  <c:v>8.2600000000000002E-4</c:v>
                </c:pt>
                <c:pt idx="16">
                  <c:v>1.2789E-2</c:v>
                </c:pt>
                <c:pt idx="17">
                  <c:v>2.7067999999999998E-2</c:v>
                </c:pt>
                <c:pt idx="18">
                  <c:v>4.1347142857142846E-2</c:v>
                </c:pt>
                <c:pt idx="19">
                  <c:v>5.5627000000000003E-2</c:v>
                </c:pt>
                <c:pt idx="20">
                  <c:v>6.9905999999999996E-2</c:v>
                </c:pt>
                <c:pt idx="21">
                  <c:v>8.4184999999999996E-2</c:v>
                </c:pt>
                <c:pt idx="22">
                  <c:v>0.11699414285714287</c:v>
                </c:pt>
                <c:pt idx="23">
                  <c:v>0.15644514285714287</c:v>
                </c:pt>
                <c:pt idx="24">
                  <c:v>0.18808928571428571</c:v>
                </c:pt>
                <c:pt idx="25">
                  <c:v>0.21973314285714285</c:v>
                </c:pt>
                <c:pt idx="26">
                  <c:v>0.25137614285714283</c:v>
                </c:pt>
                <c:pt idx="27">
                  <c:v>0.28302014285714283</c:v>
                </c:pt>
                <c:pt idx="28">
                  <c:v>0.314664</c:v>
                </c:pt>
                <c:pt idx="29">
                  <c:v>0.34630699999999998</c:v>
                </c:pt>
                <c:pt idx="30">
                  <c:v>0.4118654285714286</c:v>
                </c:pt>
                <c:pt idx="31">
                  <c:v>0.37795099999999998</c:v>
                </c:pt>
                <c:pt idx="32">
                  <c:v>0.41150114285714284</c:v>
                </c:pt>
                <c:pt idx="33">
                  <c:v>0.41109985714285718</c:v>
                </c:pt>
                <c:pt idx="34">
                  <c:v>0.41065542857142862</c:v>
                </c:pt>
                <c:pt idx="35">
                  <c:v>0.41016071428571432</c:v>
                </c:pt>
                <c:pt idx="36">
                  <c:v>0.40960657142857143</c:v>
                </c:pt>
                <c:pt idx="37">
                  <c:v>0.40898157142857144</c:v>
                </c:pt>
                <c:pt idx="38">
                  <c:v>0.40827128571428573</c:v>
                </c:pt>
                <c:pt idx="39">
                  <c:v>0.40745685714285718</c:v>
                </c:pt>
                <c:pt idx="40">
                  <c:v>0.40657457142857145</c:v>
                </c:pt>
                <c:pt idx="41">
                  <c:v>0.40558957142857144</c:v>
                </c:pt>
                <c:pt idx="42">
                  <c:v>0.40444042857142859</c:v>
                </c:pt>
                <c:pt idx="43">
                  <c:v>0.4</c:v>
                </c:pt>
                <c:pt idx="44">
                  <c:v>0.40308242857142856</c:v>
                </c:pt>
                <c:pt idx="45">
                  <c:v>0.401453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80-4F58-963C-DD758E009D56}"/>
            </c:ext>
          </c:extLst>
        </c:ser>
        <c:ser>
          <c:idx val="2"/>
          <c:order val="2"/>
          <c:tx>
            <c:strRef>
              <c:f>Feuil5!$O$1</c:f>
              <c:strCache>
                <c:ptCount val="1"/>
                <c:pt idx="0">
                  <c:v>Actions JA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Feuil5!$O$2:$O$47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1.7957000000000001E-2</c:v>
                </c:pt>
                <c:pt idx="8">
                  <c:v>2.8622000000000002E-2</c:v>
                </c:pt>
                <c:pt idx="9">
                  <c:v>3.4664E-2</c:v>
                </c:pt>
                <c:pt idx="10">
                  <c:v>4.0705999999999999E-2</c:v>
                </c:pt>
                <c:pt idx="11">
                  <c:v>4.8107000000000011E-2</c:v>
                </c:pt>
                <c:pt idx="12">
                  <c:v>6.2504000000000004E-2</c:v>
                </c:pt>
                <c:pt idx="13">
                  <c:v>7.3974142857142863E-2</c:v>
                </c:pt>
                <c:pt idx="14">
                  <c:v>8.5111142857142857E-2</c:v>
                </c:pt>
                <c:pt idx="15">
                  <c:v>9.6046000000000006E-2</c:v>
                </c:pt>
                <c:pt idx="16">
                  <c:v>0.1</c:v>
                </c:pt>
                <c:pt idx="17">
                  <c:v>0.1</c:v>
                </c:pt>
                <c:pt idx="18">
                  <c:v>0.10000014285714286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0.10000014285714287</c:v>
                </c:pt>
                <c:pt idx="23">
                  <c:v>0.10000014285714287</c:v>
                </c:pt>
                <c:pt idx="24">
                  <c:v>0.10000028571428571</c:v>
                </c:pt>
                <c:pt idx="25">
                  <c:v>0.10000014285714286</c:v>
                </c:pt>
                <c:pt idx="26">
                  <c:v>0.10000014285714286</c:v>
                </c:pt>
                <c:pt idx="27">
                  <c:v>0.10000014285714287</c:v>
                </c:pt>
                <c:pt idx="28">
                  <c:v>0.1</c:v>
                </c:pt>
                <c:pt idx="29">
                  <c:v>0.1</c:v>
                </c:pt>
                <c:pt idx="30">
                  <c:v>0.11186542857142857</c:v>
                </c:pt>
                <c:pt idx="31">
                  <c:v>0.1</c:v>
                </c:pt>
                <c:pt idx="32">
                  <c:v>0.11150114285714285</c:v>
                </c:pt>
                <c:pt idx="33">
                  <c:v>0.11109985714285714</c:v>
                </c:pt>
                <c:pt idx="34">
                  <c:v>0.11065542857142857</c:v>
                </c:pt>
                <c:pt idx="35">
                  <c:v>0.11016071428571429</c:v>
                </c:pt>
                <c:pt idx="36">
                  <c:v>0.10960657142857144</c:v>
                </c:pt>
                <c:pt idx="37">
                  <c:v>0.10898157142857144</c:v>
                </c:pt>
                <c:pt idx="38">
                  <c:v>0.10827128571428572</c:v>
                </c:pt>
                <c:pt idx="39">
                  <c:v>0.10745685714285715</c:v>
                </c:pt>
                <c:pt idx="40">
                  <c:v>0.10657457142857142</c:v>
                </c:pt>
                <c:pt idx="41">
                  <c:v>0.10558957142857142</c:v>
                </c:pt>
                <c:pt idx="42">
                  <c:v>0.10444042857142857</c:v>
                </c:pt>
                <c:pt idx="43">
                  <c:v>0.1</c:v>
                </c:pt>
                <c:pt idx="44">
                  <c:v>0.10308242857142857</c:v>
                </c:pt>
                <c:pt idx="45">
                  <c:v>0.101453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80-4F58-963C-DD758E009D56}"/>
            </c:ext>
          </c:extLst>
        </c:ser>
        <c:ser>
          <c:idx val="3"/>
          <c:order val="3"/>
          <c:tx>
            <c:strRef>
              <c:f>Feuil5!$P$1</c:f>
              <c:strCache>
                <c:ptCount val="1"/>
                <c:pt idx="0">
                  <c:v>Actions EM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Feuil5!$P$2:$P$47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0</c:v>
                </c:pt>
                <c:pt idx="8">
                  <c:v>8.1700000000000002E-4</c:v>
                </c:pt>
                <c:pt idx="9">
                  <c:v>1.8152000000000001E-2</c:v>
                </c:pt>
                <c:pt idx="10">
                  <c:v>3.5485999999999997E-2</c:v>
                </c:pt>
                <c:pt idx="11">
                  <c:v>5.0000000000000017E-2</c:v>
                </c:pt>
                <c:pt idx="12">
                  <c:v>0.05</c:v>
                </c:pt>
                <c:pt idx="13">
                  <c:v>5.0000142857142861E-2</c:v>
                </c:pt>
                <c:pt idx="14">
                  <c:v>5.0000142857142847E-2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5.0000142857142847E-2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5.0000142857142861E-2</c:v>
                </c:pt>
                <c:pt idx="23">
                  <c:v>5.0000142857142861E-2</c:v>
                </c:pt>
                <c:pt idx="24">
                  <c:v>5.0000285714285712E-2</c:v>
                </c:pt>
                <c:pt idx="25">
                  <c:v>5.0000142857142847E-2</c:v>
                </c:pt>
                <c:pt idx="26">
                  <c:v>5.0000142857142847E-2</c:v>
                </c:pt>
                <c:pt idx="27">
                  <c:v>5.0000142857142861E-2</c:v>
                </c:pt>
                <c:pt idx="28">
                  <c:v>0.05</c:v>
                </c:pt>
                <c:pt idx="29">
                  <c:v>0.05</c:v>
                </c:pt>
                <c:pt idx="30">
                  <c:v>6.1865428571428571E-2</c:v>
                </c:pt>
                <c:pt idx="31">
                  <c:v>0.05</c:v>
                </c:pt>
                <c:pt idx="32">
                  <c:v>6.1501142857142851E-2</c:v>
                </c:pt>
                <c:pt idx="33">
                  <c:v>6.1099857142857136E-2</c:v>
                </c:pt>
                <c:pt idx="34">
                  <c:v>6.0655428571428568E-2</c:v>
                </c:pt>
                <c:pt idx="35">
                  <c:v>6.016071428571429E-2</c:v>
                </c:pt>
                <c:pt idx="36">
                  <c:v>5.9606571428571439E-2</c:v>
                </c:pt>
                <c:pt idx="37">
                  <c:v>5.8981571428571432E-2</c:v>
                </c:pt>
                <c:pt idx="38">
                  <c:v>5.827128571428572E-2</c:v>
                </c:pt>
                <c:pt idx="39">
                  <c:v>5.7456857142857143E-2</c:v>
                </c:pt>
                <c:pt idx="40">
                  <c:v>5.6574571428571419E-2</c:v>
                </c:pt>
                <c:pt idx="41">
                  <c:v>5.5589571428571419E-2</c:v>
                </c:pt>
                <c:pt idx="42">
                  <c:v>5.444042857142857E-2</c:v>
                </c:pt>
                <c:pt idx="43">
                  <c:v>0.05</c:v>
                </c:pt>
                <c:pt idx="44">
                  <c:v>5.3082428571428565E-2</c:v>
                </c:pt>
                <c:pt idx="45">
                  <c:v>5.1452999999999992E-2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80-4F58-963C-DD758E009D56}"/>
            </c:ext>
          </c:extLst>
        </c:ser>
        <c:ser>
          <c:idx val="4"/>
          <c:order val="4"/>
          <c:tx>
            <c:strRef>
              <c:f>Feuil5!$Q$1</c:f>
              <c:strCache>
                <c:ptCount val="1"/>
                <c:pt idx="0">
                  <c:v>HY EU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Feuil5!$Q$2:$Q$47</c:f>
              <c:numCache>
                <c:formatCode>0.0%</c:formatCode>
                <c:ptCount val="46"/>
                <c:pt idx="0">
                  <c:v>0.46406771428571431</c:v>
                </c:pt>
                <c:pt idx="1">
                  <c:v>0.46807828571428572</c:v>
                </c:pt>
                <c:pt idx="2">
                  <c:v>0.47251057142857139</c:v>
                </c:pt>
                <c:pt idx="3">
                  <c:v>0.47743485714285716</c:v>
                </c:pt>
                <c:pt idx="4">
                  <c:v>0.48293600000000003</c:v>
                </c:pt>
                <c:pt idx="5">
                  <c:v>0.48912371428571427</c:v>
                </c:pt>
                <c:pt idx="6">
                  <c:v>0.49613342857142856</c:v>
                </c:pt>
                <c:pt idx="7">
                  <c:v>0.48276599999999997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0.50000014285714289</c:v>
                </c:pt>
                <c:pt idx="14">
                  <c:v>0.50000014285714289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0.50000014285714289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0.50000014285714289</c:v>
                </c:pt>
                <c:pt idx="23">
                  <c:v>0.49008514285714283</c:v>
                </c:pt>
                <c:pt idx="24">
                  <c:v>0.43415728571428575</c:v>
                </c:pt>
                <c:pt idx="25">
                  <c:v>0.37822814285714285</c:v>
                </c:pt>
                <c:pt idx="26">
                  <c:v>0.32229914285714284</c:v>
                </c:pt>
                <c:pt idx="27">
                  <c:v>0.26637014285714283</c:v>
                </c:pt>
                <c:pt idx="28">
                  <c:v>0.21044199999999999</c:v>
                </c:pt>
                <c:pt idx="29">
                  <c:v>0.15451300000000001</c:v>
                </c:pt>
                <c:pt idx="30">
                  <c:v>1.1865428571428567E-2</c:v>
                </c:pt>
                <c:pt idx="31">
                  <c:v>9.8584000000000005E-2</c:v>
                </c:pt>
                <c:pt idx="32">
                  <c:v>1.1501142857142845E-2</c:v>
                </c:pt>
                <c:pt idx="33">
                  <c:v>1.1099857142857137E-2</c:v>
                </c:pt>
                <c:pt idx="34">
                  <c:v>1.0655428571428569E-2</c:v>
                </c:pt>
                <c:pt idx="35">
                  <c:v>1.0160714285714285E-2</c:v>
                </c:pt>
                <c:pt idx="36">
                  <c:v>9.6065714285714331E-3</c:v>
                </c:pt>
                <c:pt idx="37">
                  <c:v>8.9815714285714308E-3</c:v>
                </c:pt>
                <c:pt idx="38">
                  <c:v>8.2712857142857189E-3</c:v>
                </c:pt>
                <c:pt idx="39">
                  <c:v>7.4568571428571383E-3</c:v>
                </c:pt>
                <c:pt idx="40">
                  <c:v>6.574571428571414E-3</c:v>
                </c:pt>
                <c:pt idx="41">
                  <c:v>5.589571428571416E-3</c:v>
                </c:pt>
                <c:pt idx="42">
                  <c:v>4.4404285714285674E-3</c:v>
                </c:pt>
                <c:pt idx="43">
                  <c:v>3.5714000000000003E-2</c:v>
                </c:pt>
                <c:pt idx="44">
                  <c:v>3.0824285714285654E-3</c:v>
                </c:pt>
                <c:pt idx="45">
                  <c:v>1.4529999999999901E-3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80-4F58-963C-DD758E009D56}"/>
            </c:ext>
          </c:extLst>
        </c:ser>
        <c:ser>
          <c:idx val="5"/>
          <c:order val="5"/>
          <c:tx>
            <c:strRef>
              <c:f>Feuil5!$R$1</c:f>
              <c:strCache>
                <c:ptCount val="1"/>
                <c:pt idx="0">
                  <c:v>Oblig Diversifiées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Feuil5!$R$2:$R$47</c:f>
              <c:numCache>
                <c:formatCode>0.0%</c:formatCode>
                <c:ptCount val="46"/>
                <c:pt idx="0">
                  <c:v>0.50598871428571424</c:v>
                </c:pt>
                <c:pt idx="1">
                  <c:v>0.50532028571428567</c:v>
                </c:pt>
                <c:pt idx="2">
                  <c:v>0.50458157142857141</c:v>
                </c:pt>
                <c:pt idx="3">
                  <c:v>0.50376085714285712</c:v>
                </c:pt>
                <c:pt idx="4">
                  <c:v>0.50284399999999996</c:v>
                </c:pt>
                <c:pt idx="5">
                  <c:v>0.50181271428571428</c:v>
                </c:pt>
                <c:pt idx="6">
                  <c:v>0.50064442857142855</c:v>
                </c:pt>
                <c:pt idx="7">
                  <c:v>0.49539699999999998</c:v>
                </c:pt>
                <c:pt idx="8">
                  <c:v>0.44891900000000001</c:v>
                </c:pt>
                <c:pt idx="9">
                  <c:v>0.42542099999999999</c:v>
                </c:pt>
                <c:pt idx="10">
                  <c:v>0.401922</c:v>
                </c:pt>
                <c:pt idx="11">
                  <c:v>0.37598599999999999</c:v>
                </c:pt>
                <c:pt idx="12">
                  <c:v>0.337503</c:v>
                </c:pt>
                <c:pt idx="13">
                  <c:v>0.30310714285714285</c:v>
                </c:pt>
                <c:pt idx="14">
                  <c:v>0.26917714285714284</c:v>
                </c:pt>
                <c:pt idx="15">
                  <c:v>0.23527699999999999</c:v>
                </c:pt>
                <c:pt idx="16">
                  <c:v>0.19946900000000001</c:v>
                </c:pt>
                <c:pt idx="17">
                  <c:v>0.16190399999999999</c:v>
                </c:pt>
                <c:pt idx="18">
                  <c:v>0.12433914285714286</c:v>
                </c:pt>
                <c:pt idx="19">
                  <c:v>8.6774000000000004E-2</c:v>
                </c:pt>
                <c:pt idx="20">
                  <c:v>4.9209000000000003E-2</c:v>
                </c:pt>
                <c:pt idx="21">
                  <c:v>1.1644E-2</c:v>
                </c:pt>
                <c:pt idx="22">
                  <c:v>1.428571428612508E-7</c:v>
                </c:pt>
                <c:pt idx="23">
                  <c:v>1.428571428612508E-7</c:v>
                </c:pt>
                <c:pt idx="24">
                  <c:v>2.8571428570664127E-7</c:v>
                </c:pt>
                <c:pt idx="25">
                  <c:v>1.4285714284539048E-7</c:v>
                </c:pt>
                <c:pt idx="26">
                  <c:v>1.4285714284539048E-7</c:v>
                </c:pt>
                <c:pt idx="27">
                  <c:v>1.428571428612508E-7</c:v>
                </c:pt>
                <c:pt idx="28">
                  <c:v>0</c:v>
                </c:pt>
                <c:pt idx="29">
                  <c:v>0</c:v>
                </c:pt>
                <c:pt idx="30">
                  <c:v>1.1865428571428567E-2</c:v>
                </c:pt>
                <c:pt idx="31">
                  <c:v>0</c:v>
                </c:pt>
                <c:pt idx="32">
                  <c:v>1.1501142857142845E-2</c:v>
                </c:pt>
                <c:pt idx="33">
                  <c:v>1.1099857142857137E-2</c:v>
                </c:pt>
                <c:pt idx="34">
                  <c:v>1.0655428571428569E-2</c:v>
                </c:pt>
                <c:pt idx="35">
                  <c:v>1.0160714285714285E-2</c:v>
                </c:pt>
                <c:pt idx="36">
                  <c:v>9.6065714285714331E-3</c:v>
                </c:pt>
                <c:pt idx="37">
                  <c:v>8.9815714285714308E-3</c:v>
                </c:pt>
                <c:pt idx="38">
                  <c:v>8.2712857142857189E-3</c:v>
                </c:pt>
                <c:pt idx="39">
                  <c:v>7.4568571428571383E-3</c:v>
                </c:pt>
                <c:pt idx="40">
                  <c:v>6.574571428571414E-3</c:v>
                </c:pt>
                <c:pt idx="41">
                  <c:v>5.589571428571416E-3</c:v>
                </c:pt>
                <c:pt idx="42">
                  <c:v>4.4404285714285674E-3</c:v>
                </c:pt>
                <c:pt idx="43">
                  <c:v>0</c:v>
                </c:pt>
                <c:pt idx="44">
                  <c:v>3.0824285714285654E-3</c:v>
                </c:pt>
                <c:pt idx="45">
                  <c:v>1.4529999999999901E-3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80-4F58-963C-DD758E009D56}"/>
            </c:ext>
          </c:extLst>
        </c:ser>
        <c:ser>
          <c:idx val="6"/>
          <c:order val="6"/>
          <c:tx>
            <c:strRef>
              <c:f>Feuil5!$S$1</c:f>
              <c:strCache>
                <c:ptCount val="1"/>
                <c:pt idx="0">
                  <c:v>Diversification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Feuil5!$B$2:$B$351</c:f>
              <c:numCache>
                <c:formatCode>0.00%</c:formatCode>
                <c:ptCount val="350"/>
                <c:pt idx="0">
                  <c:v>4.4278186999999997E-2</c:v>
                </c:pt>
                <c:pt idx="1">
                  <c:v>4.4526174000000002E-2</c:v>
                </c:pt>
                <c:pt idx="2">
                  <c:v>4.4800237E-2</c:v>
                </c:pt>
                <c:pt idx="3">
                  <c:v>4.5104722E-2</c:v>
                </c:pt>
                <c:pt idx="4">
                  <c:v>4.5444876000000002E-2</c:v>
                </c:pt>
                <c:pt idx="5">
                  <c:v>4.5827483000000002E-2</c:v>
                </c:pt>
                <c:pt idx="6">
                  <c:v>4.6260916999999999E-2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4.9000064000000003E-2</c:v>
                </c:pt>
                <c:pt idx="10">
                  <c:v>5.0000006E-2</c:v>
                </c:pt>
                <c:pt idx="11">
                  <c:v>5.0999992000000001E-2</c:v>
                </c:pt>
                <c:pt idx="12">
                  <c:v>5.2000004000000002E-2</c:v>
                </c:pt>
                <c:pt idx="13">
                  <c:v>5.2999933999999999E-2</c:v>
                </c:pt>
                <c:pt idx="14">
                  <c:v>5.3999935999999998E-2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5.7000007999999998E-2</c:v>
                </c:pt>
                <c:pt idx="18">
                  <c:v>5.7999937000000001E-2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6.1000004999999899E-2</c:v>
                </c:pt>
                <c:pt idx="22">
                  <c:v>6.1999934E-2</c:v>
                </c:pt>
                <c:pt idx="23">
                  <c:v>6.2999939999999893E-2</c:v>
                </c:pt>
                <c:pt idx="24">
                  <c:v>6.4000059999999998E-2</c:v>
                </c:pt>
                <c:pt idx="25">
                  <c:v>6.5000066999999995E-2</c:v>
                </c:pt>
                <c:pt idx="26">
                  <c:v>6.5999932999999997E-2</c:v>
                </c:pt>
                <c:pt idx="27">
                  <c:v>6.6999939999999994E-2</c:v>
                </c:pt>
                <c:pt idx="28">
                  <c:v>6.8000060000000001E-2</c:v>
                </c:pt>
                <c:pt idx="29">
                  <c:v>6.8999995999999994E-2</c:v>
                </c:pt>
                <c:pt idx="30">
                  <c:v>6.5935939999999998E-2</c:v>
                </c:pt>
                <c:pt idx="31">
                  <c:v>7.0000003000000005E-2</c:v>
                </c:pt>
                <c:pt idx="32">
                  <c:v>6.6114439999999997E-2</c:v>
                </c:pt>
                <c:pt idx="33">
                  <c:v>6.631107E-2</c:v>
                </c:pt>
                <c:pt idx="34">
                  <c:v>6.6528840000000006E-2</c:v>
                </c:pt>
                <c:pt idx="35">
                  <c:v>6.6771250000000004E-2</c:v>
                </c:pt>
                <c:pt idx="36">
                  <c:v>6.7042779999999996E-2</c:v>
                </c:pt>
                <c:pt idx="37">
                  <c:v>6.7349030000000004E-2</c:v>
                </c:pt>
                <c:pt idx="38">
                  <c:v>6.7697069999999998E-2</c:v>
                </c:pt>
                <c:pt idx="39">
                  <c:v>6.8096139999999999E-2</c:v>
                </c:pt>
                <c:pt idx="40">
                  <c:v>6.8488679999999996E-2</c:v>
                </c:pt>
                <c:pt idx="41">
                  <c:v>6.8902379999999999E-2</c:v>
                </c:pt>
                <c:pt idx="42">
                  <c:v>6.9385020000000006E-2</c:v>
                </c:pt>
                <c:pt idx="43">
                  <c:v>7.1000002000000006E-2</c:v>
                </c:pt>
                <c:pt idx="44">
                  <c:v>6.9955379999999998E-2</c:v>
                </c:pt>
                <c:pt idx="45">
                  <c:v>7.0639740000000006E-2</c:v>
                </c:pt>
              </c:numCache>
            </c:numRef>
          </c:cat>
          <c:val>
            <c:numRef>
              <c:f>Feuil5!$S$2:$S$47</c:f>
              <c:numCache>
                <c:formatCode>0.0%</c:formatCode>
                <c:ptCount val="46"/>
                <c:pt idx="0">
                  <c:v>5.9887142857142838E-3</c:v>
                </c:pt>
                <c:pt idx="1">
                  <c:v>5.320285714285714E-3</c:v>
                </c:pt>
                <c:pt idx="2">
                  <c:v>4.5815714285714227E-3</c:v>
                </c:pt>
                <c:pt idx="3">
                  <c:v>3.760857142857153E-3</c:v>
                </c:pt>
                <c:pt idx="4">
                  <c:v>2.8440000000000054E-3</c:v>
                </c:pt>
                <c:pt idx="5">
                  <c:v>1.8127142857142786E-3</c:v>
                </c:pt>
                <c:pt idx="6">
                  <c:v>6.4442857142856164E-4</c:v>
                </c:pt>
                <c:pt idx="7">
                  <c:v>3.8800000000000002E-3</c:v>
                </c:pt>
                <c:pt idx="8">
                  <c:v>2.1642000000000002E-2</c:v>
                </c:pt>
                <c:pt idx="9">
                  <c:v>2.1763000000000001E-2</c:v>
                </c:pt>
                <c:pt idx="10">
                  <c:v>2.1885999999999999E-2</c:v>
                </c:pt>
                <c:pt idx="11">
                  <c:v>2.5907000000000017E-2</c:v>
                </c:pt>
                <c:pt idx="12">
                  <c:v>4.9993000000000003E-2</c:v>
                </c:pt>
                <c:pt idx="13">
                  <c:v>6.0063142857142857E-2</c:v>
                </c:pt>
                <c:pt idx="14">
                  <c:v>6.853514285714285E-2</c:v>
                </c:pt>
                <c:pt idx="15">
                  <c:v>7.6879000000000003E-2</c:v>
                </c:pt>
                <c:pt idx="16">
                  <c:v>8.7871000000000005E-2</c:v>
                </c:pt>
                <c:pt idx="17">
                  <c:v>0.101994</c:v>
                </c:pt>
                <c:pt idx="18">
                  <c:v>0.11611714285714285</c:v>
                </c:pt>
                <c:pt idx="19">
                  <c:v>0.13023999999999999</c:v>
                </c:pt>
                <c:pt idx="20">
                  <c:v>0.14436299999999999</c:v>
                </c:pt>
                <c:pt idx="21">
                  <c:v>0.15848599999999999</c:v>
                </c:pt>
                <c:pt idx="22">
                  <c:v>9.6699142857142859E-2</c:v>
                </c:pt>
                <c:pt idx="23">
                  <c:v>1.7499142857142862E-2</c:v>
                </c:pt>
                <c:pt idx="24">
                  <c:v>1.5740285714285707E-2</c:v>
                </c:pt>
                <c:pt idx="25">
                  <c:v>1.3984142857142846E-2</c:v>
                </c:pt>
                <c:pt idx="26">
                  <c:v>1.2229142857142846E-2</c:v>
                </c:pt>
                <c:pt idx="27">
                  <c:v>1.0472142857142862E-2</c:v>
                </c:pt>
                <c:pt idx="28">
                  <c:v>8.7150000000000005E-3</c:v>
                </c:pt>
                <c:pt idx="29">
                  <c:v>6.9589999999999999E-3</c:v>
                </c:pt>
                <c:pt idx="30">
                  <c:v>1.1865428571428567E-2</c:v>
                </c:pt>
                <c:pt idx="31">
                  <c:v>5.202E-3</c:v>
                </c:pt>
                <c:pt idx="32">
                  <c:v>1.1501142857142845E-2</c:v>
                </c:pt>
                <c:pt idx="33">
                  <c:v>1.1099857142857137E-2</c:v>
                </c:pt>
                <c:pt idx="34">
                  <c:v>1.0655428571428569E-2</c:v>
                </c:pt>
                <c:pt idx="35">
                  <c:v>1.0160714285714285E-2</c:v>
                </c:pt>
                <c:pt idx="36">
                  <c:v>9.6065714285714331E-3</c:v>
                </c:pt>
                <c:pt idx="37">
                  <c:v>8.9815714285714308E-3</c:v>
                </c:pt>
                <c:pt idx="38">
                  <c:v>8.2712857142857189E-3</c:v>
                </c:pt>
                <c:pt idx="39">
                  <c:v>7.4568571428571383E-3</c:v>
                </c:pt>
                <c:pt idx="40">
                  <c:v>1.0552571428571415E-2</c:v>
                </c:pt>
                <c:pt idx="41">
                  <c:v>1.6462571428571417E-2</c:v>
                </c:pt>
                <c:pt idx="42">
                  <c:v>2.3357428571428567E-2</c:v>
                </c:pt>
                <c:pt idx="43">
                  <c:v>1.4286E-2</c:v>
                </c:pt>
                <c:pt idx="44">
                  <c:v>3.1505428571428566E-2</c:v>
                </c:pt>
                <c:pt idx="45">
                  <c:v>4.1281999999999992E-2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780-4F58-963C-DD758E009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906576"/>
        <c:axId val="1301907536"/>
      </c:areaChart>
      <c:catAx>
        <c:axId val="1301906576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907536"/>
        <c:crosses val="autoZero"/>
        <c:auto val="1"/>
        <c:lblAlgn val="ctr"/>
        <c:lblOffset val="100"/>
        <c:noMultiLvlLbl val="0"/>
      </c:catAx>
      <c:valAx>
        <c:axId val="1301907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90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Couple Rendement / Risque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Feuil5!$C$2:$C$47</c:f>
              <c:numCache>
                <c:formatCode>0.00%</c:formatCode>
                <c:ptCount val="46"/>
                <c:pt idx="0">
                  <c:v>3.7657407819465701E-2</c:v>
                </c:pt>
                <c:pt idx="1">
                  <c:v>3.7858225094717798E-2</c:v>
                </c:pt>
                <c:pt idx="2">
                  <c:v>3.8080513265323503E-2</c:v>
                </c:pt>
                <c:pt idx="3">
                  <c:v>3.83279054708318E-2</c:v>
                </c:pt>
                <c:pt idx="4">
                  <c:v>3.8604802480889398E-2</c:v>
                </c:pt>
                <c:pt idx="5">
                  <c:v>3.8916904262116199E-2</c:v>
                </c:pt>
                <c:pt idx="6">
                  <c:v>3.9271273993364199E-2</c:v>
                </c:pt>
                <c:pt idx="7">
                  <c:v>3.9637145721444701E-2</c:v>
                </c:pt>
                <c:pt idx="8">
                  <c:v>4.0409771321640302E-2</c:v>
                </c:pt>
                <c:pt idx="9">
                  <c:v>4.1485985875476999E-2</c:v>
                </c:pt>
                <c:pt idx="10">
                  <c:v>4.2777617474684303E-2</c:v>
                </c:pt>
                <c:pt idx="11">
                  <c:v>4.42681411081597E-2</c:v>
                </c:pt>
                <c:pt idx="12">
                  <c:v>4.6039491307835599E-2</c:v>
                </c:pt>
                <c:pt idx="13">
                  <c:v>4.8081834414906703E-2</c:v>
                </c:pt>
                <c:pt idx="14">
                  <c:v>5.0317475022446802E-2</c:v>
                </c:pt>
                <c:pt idx="15">
                  <c:v>5.2721357324774398E-2</c:v>
                </c:pt>
                <c:pt idx="16">
                  <c:v>5.5266379623345199E-2</c:v>
                </c:pt>
                <c:pt idx="17">
                  <c:v>5.79620121321585E-2</c:v>
                </c:pt>
                <c:pt idx="18">
                  <c:v>6.0792751295244397E-2</c:v>
                </c:pt>
                <c:pt idx="19">
                  <c:v>6.3740917902979893E-2</c:v>
                </c:pt>
                <c:pt idx="20">
                  <c:v>6.6790657239056694E-2</c:v>
                </c:pt>
                <c:pt idx="21">
                  <c:v>6.9928779568538796E-2</c:v>
                </c:pt>
                <c:pt idx="22">
                  <c:v>7.3483597584312402E-2</c:v>
                </c:pt>
                <c:pt idx="23">
                  <c:v>7.8343069314463595E-2</c:v>
                </c:pt>
                <c:pt idx="24">
                  <c:v>8.3798720653130598E-2</c:v>
                </c:pt>
                <c:pt idx="25">
                  <c:v>8.9474867063222205E-2</c:v>
                </c:pt>
                <c:pt idx="26">
                  <c:v>9.5331950003434293E-2</c:v>
                </c:pt>
                <c:pt idx="27">
                  <c:v>0.101339091924167</c:v>
                </c:pt>
                <c:pt idx="28">
                  <c:v>0.10747101179421201</c:v>
                </c:pt>
                <c:pt idx="29">
                  <c:v>0.11370719608483799</c:v>
                </c:pt>
                <c:pt idx="30">
                  <c:v>0.120010206390906</c:v>
                </c:pt>
                <c:pt idx="31">
                  <c:v>0.12003174103661</c:v>
                </c:pt>
                <c:pt idx="32">
                  <c:v>0.12035405275628</c:v>
                </c:pt>
                <c:pt idx="33">
                  <c:v>0.120733184273978</c:v>
                </c:pt>
                <c:pt idx="34">
                  <c:v>0.121153514494565</c:v>
                </c:pt>
                <c:pt idx="35">
                  <c:v>0.121621939158612</c:v>
                </c:pt>
                <c:pt idx="36">
                  <c:v>0.12214729630151</c:v>
                </c:pt>
                <c:pt idx="37">
                  <c:v>0.122740658359862</c:v>
                </c:pt>
                <c:pt idx="38">
                  <c:v>0.123416039703272</c:v>
                </c:pt>
                <c:pt idx="39">
                  <c:v>0.12419179932938799</c:v>
                </c:pt>
                <c:pt idx="40">
                  <c:v>0.12477519736022601</c:v>
                </c:pt>
                <c:pt idx="41">
                  <c:v>0.12526953548179601</c:v>
                </c:pt>
                <c:pt idx="42">
                  <c:v>0.125849761828077</c:v>
                </c:pt>
                <c:pt idx="43">
                  <c:v>0.12644112084467299</c:v>
                </c:pt>
                <c:pt idx="44">
                  <c:v>0.12654025016986301</c:v>
                </c:pt>
                <c:pt idx="45">
                  <c:v>0.12737550625503499</c:v>
                </c:pt>
              </c:numCache>
            </c:numRef>
          </c:xVal>
          <c:yVal>
            <c:numRef>
              <c:f>Feuil5!$A$2:$A$47</c:f>
              <c:numCache>
                <c:formatCode>0.00%</c:formatCode>
                <c:ptCount val="46"/>
                <c:pt idx="0">
                  <c:v>4.7003051999999997E-2</c:v>
                </c:pt>
                <c:pt idx="1">
                  <c:v>4.6946903999999998E-2</c:v>
                </c:pt>
                <c:pt idx="2">
                  <c:v>4.6884851999999991E-2</c:v>
                </c:pt>
                <c:pt idx="3">
                  <c:v>4.6815912000000001E-2</c:v>
                </c:pt>
                <c:pt idx="4">
                  <c:v>4.6738896000000002E-2</c:v>
                </c:pt>
                <c:pt idx="5">
                  <c:v>4.6652267999999997E-2</c:v>
                </c:pt>
                <c:pt idx="6">
                  <c:v>4.6554131999999991E-2</c:v>
                </c:pt>
                <c:pt idx="7">
                  <c:v>4.7000010000000002E-2</c:v>
                </c:pt>
                <c:pt idx="8">
                  <c:v>4.7999997000000003E-2</c:v>
                </c:pt>
                <c:pt idx="9">
                  <c:v>4.9000004E-2</c:v>
                </c:pt>
                <c:pt idx="10">
                  <c:v>5.0000006E-2</c:v>
                </c:pt>
                <c:pt idx="11">
                  <c:v>5.0999992000000008E-2</c:v>
                </c:pt>
                <c:pt idx="12">
                  <c:v>5.2000004000000002E-2</c:v>
                </c:pt>
                <c:pt idx="13">
                  <c:v>5.2999999000000006E-2</c:v>
                </c:pt>
                <c:pt idx="14">
                  <c:v>5.4000001000000006E-2</c:v>
                </c:pt>
                <c:pt idx="15">
                  <c:v>5.5000001999999999E-2</c:v>
                </c:pt>
                <c:pt idx="16">
                  <c:v>5.6000009000000003E-2</c:v>
                </c:pt>
                <c:pt idx="17">
                  <c:v>5.7000008000000005E-2</c:v>
                </c:pt>
                <c:pt idx="18">
                  <c:v>5.8000001999999995E-2</c:v>
                </c:pt>
                <c:pt idx="19">
                  <c:v>5.9000007E-2</c:v>
                </c:pt>
                <c:pt idx="20">
                  <c:v>6.0000006000000002E-2</c:v>
                </c:pt>
                <c:pt idx="21">
                  <c:v>6.1000004999999996E-2</c:v>
                </c:pt>
                <c:pt idx="22">
                  <c:v>6.1999999E-2</c:v>
                </c:pt>
                <c:pt idx="23">
                  <c:v>6.3000004999999998E-2</c:v>
                </c:pt>
                <c:pt idx="24">
                  <c:v>6.4000009999999996E-2</c:v>
                </c:pt>
                <c:pt idx="25">
                  <c:v>6.5000011999999982E-2</c:v>
                </c:pt>
                <c:pt idx="26">
                  <c:v>6.5999998000000004E-2</c:v>
                </c:pt>
                <c:pt idx="27">
                  <c:v>6.7000004999999987E-2</c:v>
                </c:pt>
                <c:pt idx="28">
                  <c:v>6.8000000000000005E-2</c:v>
                </c:pt>
                <c:pt idx="29">
                  <c:v>6.8999995999999994E-2</c:v>
                </c:pt>
                <c:pt idx="30">
                  <c:v>7.1334709999999996E-2</c:v>
                </c:pt>
                <c:pt idx="31">
                  <c:v>7.0000003000000005E-2</c:v>
                </c:pt>
                <c:pt idx="32">
                  <c:v>7.1347460000000001E-2</c:v>
                </c:pt>
                <c:pt idx="33">
                  <c:v>7.1361505000000006E-2</c:v>
                </c:pt>
                <c:pt idx="34">
                  <c:v>7.1377060000000006E-2</c:v>
                </c:pt>
                <c:pt idx="35">
                  <c:v>7.139437500000001E-2</c:v>
                </c:pt>
                <c:pt idx="36">
                  <c:v>7.1413769999999988E-2</c:v>
                </c:pt>
                <c:pt idx="37">
                  <c:v>7.1435645000000006E-2</c:v>
                </c:pt>
                <c:pt idx="38">
                  <c:v>7.1460505000000007E-2</c:v>
                </c:pt>
                <c:pt idx="39">
                  <c:v>7.1489010000000006E-2</c:v>
                </c:pt>
                <c:pt idx="40">
                  <c:v>7.1480109999999986E-2</c:v>
                </c:pt>
                <c:pt idx="41">
                  <c:v>7.1445634999999993E-2</c:v>
                </c:pt>
                <c:pt idx="42">
                  <c:v>7.1405415E-2</c:v>
                </c:pt>
                <c:pt idx="43">
                  <c:v>7.1000002000000006E-2</c:v>
                </c:pt>
                <c:pt idx="44">
                  <c:v>7.1357884999999996E-2</c:v>
                </c:pt>
                <c:pt idx="45">
                  <c:v>7.1300854999999996E-2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9-45F1-9673-F996C22E4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48800"/>
        <c:axId val="1400451200"/>
      </c:scatterChart>
      <c:valAx>
        <c:axId val="1400448800"/>
        <c:scaling>
          <c:orientation val="minMax"/>
          <c:max val="0.14000000000000001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0451200"/>
        <c:crosses val="autoZero"/>
        <c:crossBetween val="midCat"/>
      </c:valAx>
      <c:valAx>
        <c:axId val="1400451200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04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628650</xdr:colOff>
      <xdr:row>1</xdr:row>
      <xdr:rowOff>109537</xdr:rowOff>
    </xdr:from>
    <xdr:to>
      <xdr:col>25</xdr:col>
      <xdr:colOff>628650</xdr:colOff>
      <xdr:row>15</xdr:row>
      <xdr:rowOff>185737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8E2544E-EA5E-09FF-47C7-91F8C669D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657225</xdr:colOff>
      <xdr:row>17</xdr:row>
      <xdr:rowOff>95250</xdr:rowOff>
    </xdr:from>
    <xdr:to>
      <xdr:col>25</xdr:col>
      <xdr:colOff>657225</xdr:colOff>
      <xdr:row>31</xdr:row>
      <xdr:rowOff>171450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613CAAF-D910-4DC2-8C50-C5E297DB5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657225</xdr:colOff>
      <xdr:row>32</xdr:row>
      <xdr:rowOff>176212</xdr:rowOff>
    </xdr:from>
    <xdr:to>
      <xdr:col>25</xdr:col>
      <xdr:colOff>657225</xdr:colOff>
      <xdr:row>47</xdr:row>
      <xdr:rowOff>61912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E95814A-CD99-2070-CA71-B4E4BD448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F514-44D2-4803-B9D2-81128DAAFAB3}">
  <dimension ref="A1:AB351"/>
  <sheetViews>
    <sheetView tabSelected="1" topLeftCell="H1" workbookViewId="0">
      <selection activeCell="P17" sqref="P17"/>
    </sheetView>
  </sheetViews>
  <sheetFormatPr baseColWidth="10" defaultRowHeight="15" x14ac:dyDescent="0.25"/>
  <cols>
    <col min="4" max="4" width="10.7109375" customWidth="1"/>
  </cols>
  <sheetData>
    <row r="1" spans="1:28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I1" t="s">
        <v>8</v>
      </c>
      <c r="J1" t="s">
        <v>6</v>
      </c>
      <c r="K1" t="s">
        <v>9</v>
      </c>
      <c r="M1" t="s">
        <v>2</v>
      </c>
      <c r="N1" t="s">
        <v>3</v>
      </c>
      <c r="O1" t="s">
        <v>7</v>
      </c>
      <c r="P1" t="s">
        <v>4</v>
      </c>
      <c r="Q1" t="s">
        <v>5</v>
      </c>
      <c r="R1" t="s">
        <v>8</v>
      </c>
      <c r="S1" t="s">
        <v>6</v>
      </c>
    </row>
    <row r="2" spans="1:28" x14ac:dyDescent="0.25">
      <c r="A2" s="2" cm="1">
        <f t="array" ref="A2">MMULT(M2:S2,Feuil8!$B$2:$B$8)</f>
        <v>4.7003051999999997E-2</v>
      </c>
      <c r="B2" s="2">
        <v>4.4278186999999997E-2</v>
      </c>
      <c r="C2" s="2">
        <v>3.7657407819465701E-2</v>
      </c>
      <c r="D2" s="1">
        <v>0</v>
      </c>
      <c r="E2">
        <v>0</v>
      </c>
      <c r="F2">
        <v>0</v>
      </c>
      <c r="G2">
        <v>0</v>
      </c>
      <c r="H2">
        <v>0.45807900000000001</v>
      </c>
      <c r="I2">
        <v>0.5</v>
      </c>
      <c r="J2">
        <v>0</v>
      </c>
      <c r="K2">
        <f t="shared" ref="K2:K47" si="0">SUM(D2:J2)</f>
        <v>0.95807900000000001</v>
      </c>
      <c r="M2" s="4">
        <f>D2+(1-$K2)/COUNT($D2:$J2)</f>
        <v>5.9887142857142838E-3</v>
      </c>
      <c r="N2" s="4">
        <f t="shared" ref="N2:S2" si="1">E2+(1-$K2)/COUNT($D2:$J2)</f>
        <v>5.9887142857142838E-3</v>
      </c>
      <c r="O2" s="4">
        <f t="shared" si="1"/>
        <v>5.9887142857142838E-3</v>
      </c>
      <c r="P2" s="4">
        <f t="shared" si="1"/>
        <v>5.9887142857142838E-3</v>
      </c>
      <c r="Q2" s="4">
        <f t="shared" si="1"/>
        <v>0.46406771428571431</v>
      </c>
      <c r="R2" s="4">
        <f t="shared" si="1"/>
        <v>0.50598871428571424</v>
      </c>
      <c r="S2" s="4">
        <f t="shared" si="1"/>
        <v>5.9887142857142838E-3</v>
      </c>
    </row>
    <row r="3" spans="1:28" x14ac:dyDescent="0.25">
      <c r="A3" s="2" cm="1">
        <f t="array" ref="A3">MMULT(M3:S3,Feuil8!$B$2:$B$8)</f>
        <v>4.6946903999999998E-2</v>
      </c>
      <c r="B3" s="2">
        <v>4.4526174000000002E-2</v>
      </c>
      <c r="C3" s="2">
        <v>3.7858225094717798E-2</v>
      </c>
      <c r="D3" s="1">
        <v>0</v>
      </c>
      <c r="E3">
        <v>0</v>
      </c>
      <c r="F3">
        <v>0</v>
      </c>
      <c r="G3">
        <v>0</v>
      </c>
      <c r="H3">
        <v>0.462758</v>
      </c>
      <c r="I3">
        <v>0.5</v>
      </c>
      <c r="J3">
        <v>0</v>
      </c>
      <c r="K3">
        <f t="shared" si="0"/>
        <v>0.962758</v>
      </c>
      <c r="M3" s="4">
        <f t="shared" ref="M3:M47" si="2">D3+(1-$K3)/COUNT($D3:$J3)</f>
        <v>5.320285714285714E-3</v>
      </c>
      <c r="N3" s="4">
        <f t="shared" ref="N3:N47" si="3">E3+(1-$K3)/COUNT($D3:$J3)</f>
        <v>5.320285714285714E-3</v>
      </c>
      <c r="O3" s="4">
        <f t="shared" ref="O3:O47" si="4">F3+(1-$K3)/COUNT($D3:$J3)</f>
        <v>5.320285714285714E-3</v>
      </c>
      <c r="P3" s="4">
        <f t="shared" ref="P3:P47" si="5">G3+(1-$K3)/COUNT($D3:$J3)</f>
        <v>5.320285714285714E-3</v>
      </c>
      <c r="Q3" s="4">
        <f t="shared" ref="Q3:Q47" si="6">H3+(1-$K3)/COUNT($D3:$J3)</f>
        <v>0.46807828571428572</v>
      </c>
      <c r="R3" s="4">
        <f t="shared" ref="R3:R47" si="7">I3+(1-$K3)/COUNT($D3:$J3)</f>
        <v>0.50532028571428567</v>
      </c>
      <c r="S3" s="4">
        <f t="shared" ref="S3:S47" si="8">J3+(1-$K3)/COUNT($D3:$J3)</f>
        <v>5.320285714285714E-3</v>
      </c>
      <c r="AB3" s="3"/>
    </row>
    <row r="4" spans="1:28" x14ac:dyDescent="0.25">
      <c r="A4" s="2" cm="1">
        <f t="array" ref="A4">MMULT(M4:S4,Feuil8!$B$2:$B$8)</f>
        <v>4.6884851999999991E-2</v>
      </c>
      <c r="B4" s="2">
        <v>4.4800237E-2</v>
      </c>
      <c r="C4" s="2">
        <v>3.8080513265323503E-2</v>
      </c>
      <c r="D4" s="1">
        <v>0</v>
      </c>
      <c r="E4">
        <v>0</v>
      </c>
      <c r="F4">
        <v>0</v>
      </c>
      <c r="G4">
        <v>0</v>
      </c>
      <c r="H4">
        <v>0.46792899999999998</v>
      </c>
      <c r="I4">
        <v>0.5</v>
      </c>
      <c r="J4">
        <v>0</v>
      </c>
      <c r="K4">
        <f t="shared" si="0"/>
        <v>0.96792900000000004</v>
      </c>
      <c r="M4" s="4">
        <f t="shared" si="2"/>
        <v>4.5815714285714227E-3</v>
      </c>
      <c r="N4" s="4">
        <f t="shared" si="3"/>
        <v>4.5815714285714227E-3</v>
      </c>
      <c r="O4" s="4">
        <f t="shared" si="4"/>
        <v>4.5815714285714227E-3</v>
      </c>
      <c r="P4" s="4">
        <f t="shared" si="5"/>
        <v>4.5815714285714227E-3</v>
      </c>
      <c r="Q4" s="4">
        <f t="shared" si="6"/>
        <v>0.47251057142857139</v>
      </c>
      <c r="R4" s="4">
        <f t="shared" si="7"/>
        <v>0.50458157142857141</v>
      </c>
      <c r="S4" s="4">
        <f t="shared" si="8"/>
        <v>4.5815714285714227E-3</v>
      </c>
    </row>
    <row r="5" spans="1:28" x14ac:dyDescent="0.25">
      <c r="A5" s="2" cm="1">
        <f t="array" ref="A5">MMULT(M5:S5,Feuil8!$B$2:$B$8)</f>
        <v>4.6815912000000001E-2</v>
      </c>
      <c r="B5" s="2">
        <v>4.5104722E-2</v>
      </c>
      <c r="C5" s="2">
        <v>3.83279054708318E-2</v>
      </c>
      <c r="D5" s="1">
        <v>0</v>
      </c>
      <c r="E5">
        <v>0</v>
      </c>
      <c r="F5">
        <v>0</v>
      </c>
      <c r="G5">
        <v>0</v>
      </c>
      <c r="H5">
        <v>0.47367399999999998</v>
      </c>
      <c r="I5">
        <v>0.5</v>
      </c>
      <c r="J5">
        <v>0</v>
      </c>
      <c r="K5">
        <f t="shared" si="0"/>
        <v>0.97367399999999993</v>
      </c>
      <c r="M5" s="4">
        <f t="shared" si="2"/>
        <v>3.760857142857153E-3</v>
      </c>
      <c r="N5" s="4">
        <f t="shared" si="3"/>
        <v>3.760857142857153E-3</v>
      </c>
      <c r="O5" s="4">
        <f t="shared" si="4"/>
        <v>3.760857142857153E-3</v>
      </c>
      <c r="P5" s="4">
        <f t="shared" si="5"/>
        <v>3.760857142857153E-3</v>
      </c>
      <c r="Q5" s="4">
        <f t="shared" si="6"/>
        <v>0.47743485714285716</v>
      </c>
      <c r="R5" s="4">
        <f t="shared" si="7"/>
        <v>0.50376085714285712</v>
      </c>
      <c r="S5" s="4">
        <f t="shared" si="8"/>
        <v>3.760857142857153E-3</v>
      </c>
    </row>
    <row r="6" spans="1:28" x14ac:dyDescent="0.25">
      <c r="A6" s="2" cm="1">
        <f t="array" ref="A6">MMULT(M6:S6,Feuil8!$B$2:$B$8)</f>
        <v>4.6738896000000002E-2</v>
      </c>
      <c r="B6" s="2">
        <v>4.5444876000000002E-2</v>
      </c>
      <c r="C6" s="2">
        <v>3.8604802480889398E-2</v>
      </c>
      <c r="D6" s="1">
        <v>0</v>
      </c>
      <c r="E6">
        <v>0</v>
      </c>
      <c r="F6">
        <v>0</v>
      </c>
      <c r="G6">
        <v>0</v>
      </c>
      <c r="H6">
        <v>0.48009200000000002</v>
      </c>
      <c r="I6">
        <v>0.5</v>
      </c>
      <c r="J6">
        <v>0</v>
      </c>
      <c r="K6">
        <f t="shared" si="0"/>
        <v>0.98009199999999996</v>
      </c>
      <c r="M6" s="4">
        <f t="shared" si="2"/>
        <v>2.8440000000000054E-3</v>
      </c>
      <c r="N6" s="4">
        <f t="shared" si="3"/>
        <v>2.8440000000000054E-3</v>
      </c>
      <c r="O6" s="4">
        <f t="shared" si="4"/>
        <v>2.8440000000000054E-3</v>
      </c>
      <c r="P6" s="4">
        <f t="shared" si="5"/>
        <v>2.8440000000000054E-3</v>
      </c>
      <c r="Q6" s="4">
        <f t="shared" si="6"/>
        <v>0.48293600000000003</v>
      </c>
      <c r="R6" s="4">
        <f t="shared" si="7"/>
        <v>0.50284399999999996</v>
      </c>
      <c r="S6" s="4">
        <f t="shared" si="8"/>
        <v>2.8440000000000054E-3</v>
      </c>
    </row>
    <row r="7" spans="1:28" x14ac:dyDescent="0.25">
      <c r="A7" s="2" cm="1">
        <f t="array" ref="A7">MMULT(M7:S7,Feuil8!$B$2:$B$8)</f>
        <v>4.6652267999999997E-2</v>
      </c>
      <c r="B7" s="2">
        <v>4.5827483000000002E-2</v>
      </c>
      <c r="C7" s="2">
        <v>3.8916904262116199E-2</v>
      </c>
      <c r="D7" s="1">
        <v>0</v>
      </c>
      <c r="E7">
        <v>0</v>
      </c>
      <c r="F7">
        <v>0</v>
      </c>
      <c r="G7">
        <v>0</v>
      </c>
      <c r="H7">
        <v>0.48731099999999999</v>
      </c>
      <c r="I7">
        <v>0.5</v>
      </c>
      <c r="J7">
        <v>0</v>
      </c>
      <c r="K7">
        <f t="shared" si="0"/>
        <v>0.98731100000000005</v>
      </c>
      <c r="M7" s="4">
        <f t="shared" si="2"/>
        <v>1.8127142857142786E-3</v>
      </c>
      <c r="N7" s="4">
        <f t="shared" si="3"/>
        <v>1.8127142857142786E-3</v>
      </c>
      <c r="O7" s="4">
        <f t="shared" si="4"/>
        <v>1.8127142857142786E-3</v>
      </c>
      <c r="P7" s="4">
        <f t="shared" si="5"/>
        <v>1.8127142857142786E-3</v>
      </c>
      <c r="Q7" s="4">
        <f t="shared" si="6"/>
        <v>0.48912371428571427</v>
      </c>
      <c r="R7" s="4">
        <f t="shared" si="7"/>
        <v>0.50181271428571428</v>
      </c>
      <c r="S7" s="4">
        <f t="shared" si="8"/>
        <v>1.8127142857142786E-3</v>
      </c>
    </row>
    <row r="8" spans="1:28" x14ac:dyDescent="0.25">
      <c r="A8" s="2" cm="1">
        <f t="array" ref="A8">MMULT(M8:S8,Feuil8!$B$2:$B$8)</f>
        <v>4.6554131999999991E-2</v>
      </c>
      <c r="B8" s="2">
        <v>4.6260916999999999E-2</v>
      </c>
      <c r="C8" s="2">
        <v>3.9271273993364199E-2</v>
      </c>
      <c r="D8" s="1">
        <v>0</v>
      </c>
      <c r="E8">
        <v>0</v>
      </c>
      <c r="F8">
        <v>0</v>
      </c>
      <c r="G8">
        <v>0</v>
      </c>
      <c r="H8">
        <v>0.49548900000000001</v>
      </c>
      <c r="I8">
        <v>0.5</v>
      </c>
      <c r="J8">
        <v>0</v>
      </c>
      <c r="K8">
        <f t="shared" si="0"/>
        <v>0.99548900000000007</v>
      </c>
      <c r="M8" s="4">
        <f t="shared" si="2"/>
        <v>6.4442857142856164E-4</v>
      </c>
      <c r="N8" s="4">
        <f t="shared" si="3"/>
        <v>6.4442857142856164E-4</v>
      </c>
      <c r="O8" s="4">
        <f t="shared" si="4"/>
        <v>6.4442857142856164E-4</v>
      </c>
      <c r="P8" s="4">
        <f t="shared" si="5"/>
        <v>6.4442857142856164E-4</v>
      </c>
      <c r="Q8" s="4">
        <f t="shared" si="6"/>
        <v>0.49613342857142856</v>
      </c>
      <c r="R8" s="4">
        <f t="shared" si="7"/>
        <v>0.50064442857142855</v>
      </c>
      <c r="S8" s="4">
        <f t="shared" si="8"/>
        <v>6.4442857142856164E-4</v>
      </c>
    </row>
    <row r="9" spans="1:28" x14ac:dyDescent="0.25">
      <c r="A9" s="2" cm="1">
        <f t="array" ref="A9">MMULT(M9:S9,Feuil8!$B$2:$B$8)</f>
        <v>4.7000010000000002E-2</v>
      </c>
      <c r="B9" s="2">
        <v>4.7000010000000002E-2</v>
      </c>
      <c r="C9" s="2">
        <v>3.9637145721444701E-2</v>
      </c>
      <c r="D9" s="1">
        <v>0</v>
      </c>
      <c r="E9">
        <v>0</v>
      </c>
      <c r="F9">
        <v>1.7957000000000001E-2</v>
      </c>
      <c r="G9">
        <v>0</v>
      </c>
      <c r="H9">
        <v>0.48276599999999997</v>
      </c>
      <c r="I9">
        <v>0.49539699999999998</v>
      </c>
      <c r="J9">
        <v>3.8800000000000002E-3</v>
      </c>
      <c r="K9">
        <f t="shared" si="0"/>
        <v>1</v>
      </c>
      <c r="M9" s="4">
        <f t="shared" si="2"/>
        <v>0</v>
      </c>
      <c r="N9" s="4">
        <f t="shared" si="3"/>
        <v>0</v>
      </c>
      <c r="O9" s="4">
        <f t="shared" si="4"/>
        <v>1.7957000000000001E-2</v>
      </c>
      <c r="P9" s="4">
        <f t="shared" si="5"/>
        <v>0</v>
      </c>
      <c r="Q9" s="4">
        <f t="shared" si="6"/>
        <v>0.48276599999999997</v>
      </c>
      <c r="R9" s="4">
        <f t="shared" si="7"/>
        <v>0.49539699999999998</v>
      </c>
      <c r="S9" s="4">
        <f t="shared" si="8"/>
        <v>3.8800000000000002E-3</v>
      </c>
    </row>
    <row r="10" spans="1:28" x14ac:dyDescent="0.25">
      <c r="A10" s="2" cm="1">
        <f t="array" ref="A10">MMULT(M10:S10,Feuil8!$B$2:$B$8)</f>
        <v>4.7999997000000003E-2</v>
      </c>
      <c r="B10" s="2">
        <v>4.7999997000000003E-2</v>
      </c>
      <c r="C10" s="2">
        <v>4.0409771321640302E-2</v>
      </c>
      <c r="D10" s="1">
        <v>0</v>
      </c>
      <c r="E10">
        <v>0</v>
      </c>
      <c r="F10">
        <v>2.8622000000000002E-2</v>
      </c>
      <c r="G10">
        <v>8.1700000000000002E-4</v>
      </c>
      <c r="H10">
        <v>0.5</v>
      </c>
      <c r="I10">
        <v>0.44891900000000001</v>
      </c>
      <c r="J10">
        <v>2.1642000000000002E-2</v>
      </c>
      <c r="K10">
        <f t="shared" si="0"/>
        <v>1</v>
      </c>
      <c r="M10" s="4">
        <f t="shared" si="2"/>
        <v>0</v>
      </c>
      <c r="N10" s="4">
        <f t="shared" si="3"/>
        <v>0</v>
      </c>
      <c r="O10" s="4">
        <f t="shared" si="4"/>
        <v>2.8622000000000002E-2</v>
      </c>
      <c r="P10" s="4">
        <f t="shared" si="5"/>
        <v>8.1700000000000002E-4</v>
      </c>
      <c r="Q10" s="4">
        <f t="shared" si="6"/>
        <v>0.5</v>
      </c>
      <c r="R10" s="4">
        <f t="shared" si="7"/>
        <v>0.44891900000000001</v>
      </c>
      <c r="S10" s="4">
        <f t="shared" si="8"/>
        <v>2.1642000000000002E-2</v>
      </c>
    </row>
    <row r="11" spans="1:28" x14ac:dyDescent="0.25">
      <c r="A11" s="2" cm="1">
        <f t="array" ref="A11">MMULT(M11:S11,Feuil8!$B$2:$B$8)</f>
        <v>4.9000004E-2</v>
      </c>
      <c r="B11" s="2">
        <v>4.9000064000000003E-2</v>
      </c>
      <c r="C11" s="2">
        <v>4.1485985875476999E-2</v>
      </c>
      <c r="D11" s="1">
        <v>0</v>
      </c>
      <c r="E11">
        <v>0</v>
      </c>
      <c r="F11">
        <v>3.4664E-2</v>
      </c>
      <c r="G11">
        <v>1.8152000000000001E-2</v>
      </c>
      <c r="H11">
        <v>0.5</v>
      </c>
      <c r="I11">
        <v>0.42542099999999999</v>
      </c>
      <c r="J11">
        <v>2.1763000000000001E-2</v>
      </c>
      <c r="K11">
        <f t="shared" si="0"/>
        <v>1</v>
      </c>
      <c r="M11" s="4">
        <f t="shared" si="2"/>
        <v>0</v>
      </c>
      <c r="N11" s="4">
        <f t="shared" si="3"/>
        <v>0</v>
      </c>
      <c r="O11" s="4">
        <f t="shared" si="4"/>
        <v>3.4664E-2</v>
      </c>
      <c r="P11" s="4">
        <f t="shared" si="5"/>
        <v>1.8152000000000001E-2</v>
      </c>
      <c r="Q11" s="4">
        <f t="shared" si="6"/>
        <v>0.5</v>
      </c>
      <c r="R11" s="4">
        <f t="shared" si="7"/>
        <v>0.42542099999999999</v>
      </c>
      <c r="S11" s="4">
        <f t="shared" si="8"/>
        <v>2.1763000000000001E-2</v>
      </c>
    </row>
    <row r="12" spans="1:28" x14ac:dyDescent="0.25">
      <c r="A12" s="2" cm="1">
        <f t="array" ref="A12">MMULT(M12:S12,Feuil8!$B$2:$B$8)</f>
        <v>5.0000006E-2</v>
      </c>
      <c r="B12" s="2">
        <v>5.0000006E-2</v>
      </c>
      <c r="C12" s="2">
        <v>4.2777617474684303E-2</v>
      </c>
      <c r="D12" s="1">
        <v>0</v>
      </c>
      <c r="E12">
        <v>0</v>
      </c>
      <c r="F12">
        <v>4.0705999999999999E-2</v>
      </c>
      <c r="G12">
        <v>3.5485999999999997E-2</v>
      </c>
      <c r="H12">
        <v>0.5</v>
      </c>
      <c r="I12">
        <v>0.401922</v>
      </c>
      <c r="J12">
        <v>2.1885999999999999E-2</v>
      </c>
      <c r="K12">
        <f t="shared" si="0"/>
        <v>1</v>
      </c>
      <c r="M12" s="4">
        <f t="shared" si="2"/>
        <v>0</v>
      </c>
      <c r="N12" s="4">
        <f t="shared" si="3"/>
        <v>0</v>
      </c>
      <c r="O12" s="4">
        <f t="shared" si="4"/>
        <v>4.0705999999999999E-2</v>
      </c>
      <c r="P12" s="4">
        <f t="shared" si="5"/>
        <v>3.5485999999999997E-2</v>
      </c>
      <c r="Q12" s="4">
        <f t="shared" si="6"/>
        <v>0.5</v>
      </c>
      <c r="R12" s="4">
        <f t="shared" si="7"/>
        <v>0.401922</v>
      </c>
      <c r="S12" s="4">
        <f t="shared" si="8"/>
        <v>2.1885999999999999E-2</v>
      </c>
    </row>
    <row r="13" spans="1:28" x14ac:dyDescent="0.25">
      <c r="A13" s="2" cm="1">
        <f t="array" ref="A13">MMULT(M13:S13,Feuil8!$B$2:$B$8)</f>
        <v>5.0999992000000008E-2</v>
      </c>
      <c r="B13" s="2">
        <v>5.0999992000000001E-2</v>
      </c>
      <c r="C13" s="2">
        <v>4.42681411081597E-2</v>
      </c>
      <c r="D13" s="1">
        <v>0</v>
      </c>
      <c r="E13">
        <v>0</v>
      </c>
      <c r="F13">
        <v>4.8106999999999997E-2</v>
      </c>
      <c r="G13">
        <v>0.05</v>
      </c>
      <c r="H13">
        <v>0.5</v>
      </c>
      <c r="I13">
        <v>0.37598599999999999</v>
      </c>
      <c r="J13">
        <v>2.5906999999999999E-2</v>
      </c>
      <c r="K13">
        <f t="shared" si="0"/>
        <v>0.99999999999999989</v>
      </c>
      <c r="M13" s="4">
        <f t="shared" si="2"/>
        <v>1.5860328923216521E-17</v>
      </c>
      <c r="N13" s="4">
        <f t="shared" si="3"/>
        <v>1.5860328923216521E-17</v>
      </c>
      <c r="O13" s="4">
        <f t="shared" si="4"/>
        <v>4.8107000000000011E-2</v>
      </c>
      <c r="P13" s="4">
        <f t="shared" si="5"/>
        <v>5.0000000000000017E-2</v>
      </c>
      <c r="Q13" s="4">
        <f t="shared" si="6"/>
        <v>0.5</v>
      </c>
      <c r="R13" s="4">
        <f t="shared" si="7"/>
        <v>0.37598599999999999</v>
      </c>
      <c r="S13" s="4">
        <f t="shared" si="8"/>
        <v>2.5907000000000017E-2</v>
      </c>
    </row>
    <row r="14" spans="1:28" x14ac:dyDescent="0.25">
      <c r="A14" s="2" cm="1">
        <f t="array" ref="A14">MMULT(M14:S14,Feuil8!$B$2:$B$8)</f>
        <v>5.2000004000000002E-2</v>
      </c>
      <c r="B14" s="2">
        <v>5.2000004000000002E-2</v>
      </c>
      <c r="C14" s="2">
        <v>4.6039491307835599E-2</v>
      </c>
      <c r="D14" s="1">
        <v>0</v>
      </c>
      <c r="E14">
        <v>0</v>
      </c>
      <c r="F14">
        <v>6.2504000000000004E-2</v>
      </c>
      <c r="G14">
        <v>0.05</v>
      </c>
      <c r="H14">
        <v>0.5</v>
      </c>
      <c r="I14">
        <v>0.337503</v>
      </c>
      <c r="J14">
        <v>4.9993000000000003E-2</v>
      </c>
      <c r="K14">
        <f t="shared" si="0"/>
        <v>1</v>
      </c>
      <c r="M14" s="4">
        <f t="shared" si="2"/>
        <v>0</v>
      </c>
      <c r="N14" s="4">
        <f t="shared" si="3"/>
        <v>0</v>
      </c>
      <c r="O14" s="4">
        <f t="shared" si="4"/>
        <v>6.2504000000000004E-2</v>
      </c>
      <c r="P14" s="4">
        <f t="shared" si="5"/>
        <v>0.05</v>
      </c>
      <c r="Q14" s="4">
        <f t="shared" si="6"/>
        <v>0.5</v>
      </c>
      <c r="R14" s="4">
        <f t="shared" si="7"/>
        <v>0.337503</v>
      </c>
      <c r="S14" s="4">
        <f t="shared" si="8"/>
        <v>4.9993000000000003E-2</v>
      </c>
    </row>
    <row r="15" spans="1:28" x14ac:dyDescent="0.25">
      <c r="A15" s="2" cm="1">
        <f t="array" ref="A15">MMULT(M15:S15,Feuil8!$B$2:$B$8)</f>
        <v>5.2999999000000006E-2</v>
      </c>
      <c r="B15" s="2">
        <v>5.2999933999999999E-2</v>
      </c>
      <c r="C15" s="2">
        <v>4.8081834414906703E-2</v>
      </c>
      <c r="D15" s="1">
        <v>1.2855E-2</v>
      </c>
      <c r="E15">
        <v>0</v>
      </c>
      <c r="F15">
        <v>7.3973999999999998E-2</v>
      </c>
      <c r="G15">
        <v>0.05</v>
      </c>
      <c r="H15">
        <v>0.5</v>
      </c>
      <c r="I15">
        <v>0.30310700000000002</v>
      </c>
      <c r="J15">
        <v>6.0062999999999998E-2</v>
      </c>
      <c r="K15">
        <f t="shared" si="0"/>
        <v>0.99999899999999997</v>
      </c>
      <c r="M15" s="4">
        <f t="shared" si="2"/>
        <v>1.2855142857142862E-2</v>
      </c>
      <c r="N15" s="4">
        <f t="shared" si="3"/>
        <v>1.428571428612508E-7</v>
      </c>
      <c r="O15" s="4">
        <f t="shared" si="4"/>
        <v>7.3974142857142863E-2</v>
      </c>
      <c r="P15" s="4">
        <f t="shared" si="5"/>
        <v>5.0000142857142861E-2</v>
      </c>
      <c r="Q15" s="4">
        <f t="shared" si="6"/>
        <v>0.50000014285714289</v>
      </c>
      <c r="R15" s="4">
        <f t="shared" si="7"/>
        <v>0.30310714285714285</v>
      </c>
      <c r="S15" s="4">
        <f t="shared" si="8"/>
        <v>6.0063142857142857E-2</v>
      </c>
    </row>
    <row r="16" spans="1:28" x14ac:dyDescent="0.25">
      <c r="A16" s="2" cm="1">
        <f t="array" ref="A16">MMULT(M16:S16,Feuil8!$B$2:$B$8)</f>
        <v>5.4000001000000006E-2</v>
      </c>
      <c r="B16" s="2">
        <v>5.3999935999999998E-2</v>
      </c>
      <c r="C16" s="2">
        <v>5.0317475022446802E-2</v>
      </c>
      <c r="D16" s="1">
        <v>2.7175999999999999E-2</v>
      </c>
      <c r="E16">
        <v>0</v>
      </c>
      <c r="F16">
        <v>8.5111000000000006E-2</v>
      </c>
      <c r="G16">
        <v>0.05</v>
      </c>
      <c r="H16">
        <v>0.5</v>
      </c>
      <c r="I16">
        <v>0.269177</v>
      </c>
      <c r="J16">
        <v>6.8534999999999999E-2</v>
      </c>
      <c r="K16">
        <f t="shared" si="0"/>
        <v>0.99999900000000008</v>
      </c>
      <c r="M16" s="4">
        <f t="shared" si="2"/>
        <v>2.7176142857142843E-2</v>
      </c>
      <c r="N16" s="4">
        <f t="shared" si="3"/>
        <v>1.4285714284539048E-7</v>
      </c>
      <c r="O16" s="4">
        <f t="shared" si="4"/>
        <v>8.5111142857142857E-2</v>
      </c>
      <c r="P16" s="4">
        <f t="shared" si="5"/>
        <v>5.0000142857142847E-2</v>
      </c>
      <c r="Q16" s="4">
        <f t="shared" si="6"/>
        <v>0.50000014285714289</v>
      </c>
      <c r="R16" s="4">
        <f t="shared" si="7"/>
        <v>0.26917714285714284</v>
      </c>
      <c r="S16" s="4">
        <f t="shared" si="8"/>
        <v>6.853514285714285E-2</v>
      </c>
    </row>
    <row r="17" spans="1:19" x14ac:dyDescent="0.25">
      <c r="A17" s="2" cm="1">
        <f t="array" ref="A17">MMULT(M17:S17,Feuil8!$B$2:$B$8)</f>
        <v>5.5000001999999999E-2</v>
      </c>
      <c r="B17" s="2">
        <v>5.5000001999999999E-2</v>
      </c>
      <c r="C17" s="2">
        <v>5.2721357324774398E-2</v>
      </c>
      <c r="D17" s="1">
        <v>4.0972000000000001E-2</v>
      </c>
      <c r="E17">
        <v>8.2600000000000002E-4</v>
      </c>
      <c r="F17">
        <v>9.6046000000000006E-2</v>
      </c>
      <c r="G17">
        <v>0.05</v>
      </c>
      <c r="H17">
        <v>0.5</v>
      </c>
      <c r="I17">
        <v>0.23527699999999999</v>
      </c>
      <c r="J17">
        <v>7.6879000000000003E-2</v>
      </c>
      <c r="K17">
        <f t="shared" si="0"/>
        <v>1</v>
      </c>
      <c r="M17" s="4">
        <f t="shared" si="2"/>
        <v>4.0972000000000001E-2</v>
      </c>
      <c r="N17" s="4">
        <f t="shared" si="3"/>
        <v>8.2600000000000002E-4</v>
      </c>
      <c r="O17" s="4">
        <f t="shared" si="4"/>
        <v>9.6046000000000006E-2</v>
      </c>
      <c r="P17" s="4">
        <f t="shared" si="5"/>
        <v>0.05</v>
      </c>
      <c r="Q17" s="4">
        <f t="shared" si="6"/>
        <v>0.5</v>
      </c>
      <c r="R17" s="4">
        <f t="shared" si="7"/>
        <v>0.23527699999999999</v>
      </c>
      <c r="S17" s="4">
        <f t="shared" si="8"/>
        <v>7.6879000000000003E-2</v>
      </c>
    </row>
    <row r="18" spans="1:19" x14ac:dyDescent="0.25">
      <c r="A18" s="2" cm="1">
        <f t="array" ref="A18">MMULT(M18:S18,Feuil8!$B$2:$B$8)</f>
        <v>5.6000009000000003E-2</v>
      </c>
      <c r="B18" s="2">
        <v>5.6000009000000003E-2</v>
      </c>
      <c r="C18" s="2">
        <v>5.5266379623345199E-2</v>
      </c>
      <c r="D18" s="1">
        <v>4.9870999999999999E-2</v>
      </c>
      <c r="E18">
        <v>1.2789E-2</v>
      </c>
      <c r="F18">
        <v>0.1</v>
      </c>
      <c r="G18">
        <v>0.05</v>
      </c>
      <c r="H18">
        <v>0.5</v>
      </c>
      <c r="I18">
        <v>0.19946900000000001</v>
      </c>
      <c r="J18">
        <v>8.7871000000000005E-2</v>
      </c>
      <c r="K18">
        <f t="shared" si="0"/>
        <v>1</v>
      </c>
      <c r="M18" s="4">
        <f t="shared" si="2"/>
        <v>4.9870999999999999E-2</v>
      </c>
      <c r="N18" s="4">
        <f t="shared" si="3"/>
        <v>1.2789E-2</v>
      </c>
      <c r="O18" s="4">
        <f t="shared" si="4"/>
        <v>0.1</v>
      </c>
      <c r="P18" s="4">
        <f t="shared" si="5"/>
        <v>0.05</v>
      </c>
      <c r="Q18" s="4">
        <f t="shared" si="6"/>
        <v>0.5</v>
      </c>
      <c r="R18" s="4">
        <f t="shared" si="7"/>
        <v>0.19946900000000001</v>
      </c>
      <c r="S18" s="4">
        <f t="shared" si="8"/>
        <v>8.7871000000000005E-2</v>
      </c>
    </row>
    <row r="19" spans="1:19" x14ac:dyDescent="0.25">
      <c r="A19" s="2" cm="1">
        <f t="array" ref="A19">MMULT(M19:S19,Feuil8!$B$2:$B$8)</f>
        <v>5.7000008000000005E-2</v>
      </c>
      <c r="B19" s="2">
        <v>5.7000007999999998E-2</v>
      </c>
      <c r="C19" s="2">
        <v>5.79620121321585E-2</v>
      </c>
      <c r="D19" s="1">
        <v>5.9034000000000003E-2</v>
      </c>
      <c r="E19">
        <v>2.7067999999999998E-2</v>
      </c>
      <c r="F19">
        <v>0.1</v>
      </c>
      <c r="G19">
        <v>0.05</v>
      </c>
      <c r="H19">
        <v>0.5</v>
      </c>
      <c r="I19">
        <v>0.16190399999999999</v>
      </c>
      <c r="J19">
        <v>0.101994</v>
      </c>
      <c r="K19">
        <f t="shared" si="0"/>
        <v>1</v>
      </c>
      <c r="M19" s="4">
        <f t="shared" si="2"/>
        <v>5.9034000000000003E-2</v>
      </c>
      <c r="N19" s="4">
        <f t="shared" si="3"/>
        <v>2.7067999999999998E-2</v>
      </c>
      <c r="O19" s="4">
        <f t="shared" si="4"/>
        <v>0.1</v>
      </c>
      <c r="P19" s="4">
        <f t="shared" si="5"/>
        <v>0.05</v>
      </c>
      <c r="Q19" s="4">
        <f t="shared" si="6"/>
        <v>0.5</v>
      </c>
      <c r="R19" s="4">
        <f t="shared" si="7"/>
        <v>0.16190399999999999</v>
      </c>
      <c r="S19" s="4">
        <f t="shared" si="8"/>
        <v>0.101994</v>
      </c>
    </row>
    <row r="20" spans="1:19" x14ac:dyDescent="0.25">
      <c r="A20" s="2" cm="1">
        <f t="array" ref="A20">MMULT(M20:S20,Feuil8!$B$2:$B$8)</f>
        <v>5.8000001999999995E-2</v>
      </c>
      <c r="B20" s="2">
        <v>5.7999937000000001E-2</v>
      </c>
      <c r="C20" s="2">
        <v>6.0792751295244397E-2</v>
      </c>
      <c r="D20" s="1">
        <v>6.8196000000000007E-2</v>
      </c>
      <c r="E20">
        <v>4.1347000000000002E-2</v>
      </c>
      <c r="F20">
        <v>0.1</v>
      </c>
      <c r="G20">
        <v>0.05</v>
      </c>
      <c r="H20">
        <v>0.5</v>
      </c>
      <c r="I20">
        <v>0.12433900000000001</v>
      </c>
      <c r="J20">
        <v>0.116117</v>
      </c>
      <c r="K20">
        <f t="shared" si="0"/>
        <v>0.99999900000000008</v>
      </c>
      <c r="M20" s="4">
        <f t="shared" si="2"/>
        <v>6.8196142857142858E-2</v>
      </c>
      <c r="N20" s="4">
        <f t="shared" si="3"/>
        <v>4.1347142857142846E-2</v>
      </c>
      <c r="O20" s="4">
        <f t="shared" si="4"/>
        <v>0.10000014285714286</v>
      </c>
      <c r="P20" s="4">
        <f t="shared" si="5"/>
        <v>5.0000142857142847E-2</v>
      </c>
      <c r="Q20" s="4">
        <f t="shared" si="6"/>
        <v>0.50000014285714289</v>
      </c>
      <c r="R20" s="4">
        <f t="shared" si="7"/>
        <v>0.12433914285714286</v>
      </c>
      <c r="S20" s="4">
        <f t="shared" si="8"/>
        <v>0.11611714285714285</v>
      </c>
    </row>
    <row r="21" spans="1:19" x14ac:dyDescent="0.25">
      <c r="A21" s="2" cm="1">
        <f t="array" ref="A21">MMULT(M21:S21,Feuil8!$B$2:$B$8)</f>
        <v>5.9000007E-2</v>
      </c>
      <c r="B21" s="2">
        <v>5.9000007E-2</v>
      </c>
      <c r="C21" s="2">
        <v>6.3740917902979893E-2</v>
      </c>
      <c r="D21" s="1">
        <v>7.7358999999999997E-2</v>
      </c>
      <c r="E21">
        <v>5.5627000000000003E-2</v>
      </c>
      <c r="F21">
        <v>0.1</v>
      </c>
      <c r="G21">
        <v>0.05</v>
      </c>
      <c r="H21">
        <v>0.5</v>
      </c>
      <c r="I21">
        <v>8.6774000000000004E-2</v>
      </c>
      <c r="J21">
        <v>0.13023999999999999</v>
      </c>
      <c r="K21">
        <f t="shared" si="0"/>
        <v>1</v>
      </c>
      <c r="M21" s="4">
        <f t="shared" si="2"/>
        <v>7.7358999999999997E-2</v>
      </c>
      <c r="N21" s="4">
        <f t="shared" si="3"/>
        <v>5.5627000000000003E-2</v>
      </c>
      <c r="O21" s="4">
        <f t="shared" si="4"/>
        <v>0.1</v>
      </c>
      <c r="P21" s="4">
        <f t="shared" si="5"/>
        <v>0.05</v>
      </c>
      <c r="Q21" s="4">
        <f t="shared" si="6"/>
        <v>0.5</v>
      </c>
      <c r="R21" s="4">
        <f t="shared" si="7"/>
        <v>8.6774000000000004E-2</v>
      </c>
      <c r="S21" s="4">
        <f t="shared" si="8"/>
        <v>0.13023999999999999</v>
      </c>
    </row>
    <row r="22" spans="1:19" x14ac:dyDescent="0.25">
      <c r="A22" s="2" cm="1">
        <f t="array" ref="A22">MMULT(M22:S22,Feuil8!$B$2:$B$8)</f>
        <v>6.0000006000000002E-2</v>
      </c>
      <c r="B22" s="2">
        <v>6.0000006000000002E-2</v>
      </c>
      <c r="C22" s="2">
        <v>6.6790657239056694E-2</v>
      </c>
      <c r="D22" s="1">
        <v>8.6522000000000002E-2</v>
      </c>
      <c r="E22">
        <v>6.9905999999999996E-2</v>
      </c>
      <c r="F22">
        <v>0.1</v>
      </c>
      <c r="G22">
        <v>0.05</v>
      </c>
      <c r="H22">
        <v>0.5</v>
      </c>
      <c r="I22">
        <v>4.9209000000000003E-2</v>
      </c>
      <c r="J22">
        <v>0.14436299999999999</v>
      </c>
      <c r="K22">
        <f t="shared" si="0"/>
        <v>1</v>
      </c>
      <c r="M22" s="4">
        <f t="shared" si="2"/>
        <v>8.6522000000000002E-2</v>
      </c>
      <c r="N22" s="4">
        <f t="shared" si="3"/>
        <v>6.9905999999999996E-2</v>
      </c>
      <c r="O22" s="4">
        <f t="shared" si="4"/>
        <v>0.1</v>
      </c>
      <c r="P22" s="4">
        <f t="shared" si="5"/>
        <v>0.05</v>
      </c>
      <c r="Q22" s="4">
        <f t="shared" si="6"/>
        <v>0.5</v>
      </c>
      <c r="R22" s="4">
        <f t="shared" si="7"/>
        <v>4.9209000000000003E-2</v>
      </c>
      <c r="S22" s="4">
        <f t="shared" si="8"/>
        <v>0.14436299999999999</v>
      </c>
    </row>
    <row r="23" spans="1:19" x14ac:dyDescent="0.25">
      <c r="A23" s="2" cm="1">
        <f t="array" ref="A23">MMULT(M23:S23,Feuil8!$B$2:$B$8)</f>
        <v>6.1000004999999996E-2</v>
      </c>
      <c r="B23" s="2">
        <v>6.1000004999999899E-2</v>
      </c>
      <c r="C23" s="2">
        <v>6.9928779568538796E-2</v>
      </c>
      <c r="D23" s="1">
        <v>9.5685000000000006E-2</v>
      </c>
      <c r="E23">
        <v>8.4184999999999996E-2</v>
      </c>
      <c r="F23">
        <v>0.1</v>
      </c>
      <c r="G23">
        <v>0.05</v>
      </c>
      <c r="H23">
        <v>0.5</v>
      </c>
      <c r="I23">
        <v>1.1644E-2</v>
      </c>
      <c r="J23">
        <v>0.15848599999999999</v>
      </c>
      <c r="K23">
        <f t="shared" si="0"/>
        <v>1</v>
      </c>
      <c r="M23" s="4">
        <f t="shared" si="2"/>
        <v>9.5685000000000006E-2</v>
      </c>
      <c r="N23" s="4">
        <f t="shared" si="3"/>
        <v>8.4184999999999996E-2</v>
      </c>
      <c r="O23" s="4">
        <f t="shared" si="4"/>
        <v>0.1</v>
      </c>
      <c r="P23" s="4">
        <f t="shared" si="5"/>
        <v>0.05</v>
      </c>
      <c r="Q23" s="4">
        <f t="shared" si="6"/>
        <v>0.5</v>
      </c>
      <c r="R23" s="4">
        <f t="shared" si="7"/>
        <v>1.1644E-2</v>
      </c>
      <c r="S23" s="4">
        <f t="shared" si="8"/>
        <v>0.15848599999999999</v>
      </c>
    </row>
    <row r="24" spans="1:19" x14ac:dyDescent="0.25">
      <c r="A24" s="2" cm="1">
        <f t="array" ref="A24">MMULT(M24:S24,Feuil8!$B$2:$B$8)</f>
        <v>6.1999999E-2</v>
      </c>
      <c r="B24" s="2">
        <v>6.1999934E-2</v>
      </c>
      <c r="C24" s="2">
        <v>7.3483597584312402E-2</v>
      </c>
      <c r="D24" s="1">
        <v>0.13630600000000001</v>
      </c>
      <c r="E24">
        <v>0.116994</v>
      </c>
      <c r="F24">
        <v>0.1</v>
      </c>
      <c r="G24">
        <v>0.05</v>
      </c>
      <c r="H24">
        <v>0.5</v>
      </c>
      <c r="I24">
        <v>0</v>
      </c>
      <c r="J24">
        <v>9.6698999999999993E-2</v>
      </c>
      <c r="K24">
        <f t="shared" si="0"/>
        <v>0.99999899999999997</v>
      </c>
      <c r="M24" s="4">
        <f t="shared" si="2"/>
        <v>0.13630614285714288</v>
      </c>
      <c r="N24" s="4">
        <f t="shared" si="3"/>
        <v>0.11699414285714287</v>
      </c>
      <c r="O24" s="4">
        <f t="shared" si="4"/>
        <v>0.10000014285714287</v>
      </c>
      <c r="P24" s="4">
        <f t="shared" si="5"/>
        <v>5.0000142857142861E-2</v>
      </c>
      <c r="Q24" s="4">
        <f t="shared" si="6"/>
        <v>0.50000014285714289</v>
      </c>
      <c r="R24" s="4">
        <f t="shared" si="7"/>
        <v>1.428571428612508E-7</v>
      </c>
      <c r="S24" s="4">
        <f t="shared" si="8"/>
        <v>9.6699142857142859E-2</v>
      </c>
    </row>
    <row r="25" spans="1:19" x14ac:dyDescent="0.25">
      <c r="A25" s="2" cm="1">
        <f t="array" ref="A25">MMULT(M25:S25,Feuil8!$B$2:$B$8)</f>
        <v>6.3000004999999998E-2</v>
      </c>
      <c r="B25" s="2">
        <v>6.2999939999999893E-2</v>
      </c>
      <c r="C25" s="2">
        <v>7.8343069314463595E-2</v>
      </c>
      <c r="D25" s="1">
        <v>0.18597</v>
      </c>
      <c r="E25">
        <v>0.156445</v>
      </c>
      <c r="F25">
        <v>0.1</v>
      </c>
      <c r="G25">
        <v>0.05</v>
      </c>
      <c r="H25">
        <v>0.49008499999999999</v>
      </c>
      <c r="I25">
        <v>0</v>
      </c>
      <c r="J25">
        <v>1.7499000000000001E-2</v>
      </c>
      <c r="K25">
        <f t="shared" si="0"/>
        <v>0.99999899999999997</v>
      </c>
      <c r="M25" s="4">
        <f t="shared" si="2"/>
        <v>0.18597014285714286</v>
      </c>
      <c r="N25" s="4">
        <f t="shared" si="3"/>
        <v>0.15644514285714287</v>
      </c>
      <c r="O25" s="4">
        <f t="shared" si="4"/>
        <v>0.10000014285714287</v>
      </c>
      <c r="P25" s="4">
        <f t="shared" si="5"/>
        <v>5.0000142857142861E-2</v>
      </c>
      <c r="Q25" s="4">
        <f t="shared" si="6"/>
        <v>0.49008514285714283</v>
      </c>
      <c r="R25" s="4">
        <f t="shared" si="7"/>
        <v>1.428571428612508E-7</v>
      </c>
      <c r="S25" s="4">
        <f t="shared" si="8"/>
        <v>1.7499142857142862E-2</v>
      </c>
    </row>
    <row r="26" spans="1:19" x14ac:dyDescent="0.25">
      <c r="A26" s="2" cm="1">
        <f t="array" ref="A26">MMULT(M26:S26,Feuil8!$B$2:$B$8)</f>
        <v>6.4000009999999996E-2</v>
      </c>
      <c r="B26" s="2">
        <v>6.4000059999999998E-2</v>
      </c>
      <c r="C26" s="2">
        <v>8.3798720653130598E-2</v>
      </c>
      <c r="D26" s="1">
        <v>0.21201200000000001</v>
      </c>
      <c r="E26">
        <v>0.18808900000000001</v>
      </c>
      <c r="F26">
        <v>0.1</v>
      </c>
      <c r="G26">
        <v>0.05</v>
      </c>
      <c r="H26">
        <v>0.43415700000000002</v>
      </c>
      <c r="I26">
        <v>0</v>
      </c>
      <c r="J26">
        <v>1.5740000000000001E-2</v>
      </c>
      <c r="K26">
        <f t="shared" si="0"/>
        <v>0.99999800000000005</v>
      </c>
      <c r="M26" s="4">
        <f t="shared" si="2"/>
        <v>0.21201228571428571</v>
      </c>
      <c r="N26" s="4">
        <f t="shared" si="3"/>
        <v>0.18808928571428571</v>
      </c>
      <c r="O26" s="4">
        <f t="shared" si="4"/>
        <v>0.10000028571428571</v>
      </c>
      <c r="P26" s="4">
        <f t="shared" si="5"/>
        <v>5.0000285714285712E-2</v>
      </c>
      <c r="Q26" s="4">
        <f t="shared" si="6"/>
        <v>0.43415728571428575</v>
      </c>
      <c r="R26" s="4">
        <f t="shared" si="7"/>
        <v>2.8571428570664127E-7</v>
      </c>
      <c r="S26" s="4">
        <f t="shared" si="8"/>
        <v>1.5740285714285707E-2</v>
      </c>
    </row>
    <row r="27" spans="1:19" x14ac:dyDescent="0.25">
      <c r="A27" s="2" cm="1">
        <f t="array" ref="A27">MMULT(M27:S27,Feuil8!$B$2:$B$8)</f>
        <v>6.5000011999999982E-2</v>
      </c>
      <c r="B27" s="2">
        <v>6.5000066999999995E-2</v>
      </c>
      <c r="C27" s="2">
        <v>8.9474867063222205E-2</v>
      </c>
      <c r="D27" s="1">
        <v>0.23805399999999999</v>
      </c>
      <c r="E27">
        <v>0.21973300000000001</v>
      </c>
      <c r="F27">
        <v>0.1</v>
      </c>
      <c r="G27">
        <v>0.05</v>
      </c>
      <c r="H27">
        <v>0.37822800000000001</v>
      </c>
      <c r="I27">
        <v>0</v>
      </c>
      <c r="J27">
        <v>1.3984E-2</v>
      </c>
      <c r="K27">
        <f t="shared" si="0"/>
        <v>0.99999900000000008</v>
      </c>
      <c r="M27" s="4">
        <f t="shared" si="2"/>
        <v>0.23805414285714283</v>
      </c>
      <c r="N27" s="4">
        <f t="shared" si="3"/>
        <v>0.21973314285714285</v>
      </c>
      <c r="O27" s="4">
        <f t="shared" si="4"/>
        <v>0.10000014285714286</v>
      </c>
      <c r="P27" s="4">
        <f t="shared" si="5"/>
        <v>5.0000142857142847E-2</v>
      </c>
      <c r="Q27" s="4">
        <f t="shared" si="6"/>
        <v>0.37822814285714285</v>
      </c>
      <c r="R27" s="4">
        <f t="shared" si="7"/>
        <v>1.4285714284539048E-7</v>
      </c>
      <c r="S27" s="4">
        <f t="shared" si="8"/>
        <v>1.3984142857142846E-2</v>
      </c>
    </row>
    <row r="28" spans="1:19" x14ac:dyDescent="0.25">
      <c r="A28" s="2" cm="1">
        <f t="array" ref="A28">MMULT(M28:S28,Feuil8!$B$2:$B$8)</f>
        <v>6.5999998000000004E-2</v>
      </c>
      <c r="B28" s="2">
        <v>6.5999932999999997E-2</v>
      </c>
      <c r="C28" s="2">
        <v>9.5331950003434293E-2</v>
      </c>
      <c r="D28" s="1">
        <v>0.26409500000000002</v>
      </c>
      <c r="E28">
        <v>0.25137599999999999</v>
      </c>
      <c r="F28">
        <v>0.1</v>
      </c>
      <c r="G28">
        <v>0.05</v>
      </c>
      <c r="H28">
        <v>0.322299</v>
      </c>
      <c r="I28">
        <v>0</v>
      </c>
      <c r="J28">
        <v>1.2229E-2</v>
      </c>
      <c r="K28">
        <f t="shared" si="0"/>
        <v>0.99999900000000008</v>
      </c>
      <c r="M28" s="4">
        <f t="shared" si="2"/>
        <v>0.26409514285714286</v>
      </c>
      <c r="N28" s="4">
        <f t="shared" si="3"/>
        <v>0.25137614285714283</v>
      </c>
      <c r="O28" s="4">
        <f t="shared" si="4"/>
        <v>0.10000014285714286</v>
      </c>
      <c r="P28" s="4">
        <f t="shared" si="5"/>
        <v>5.0000142857142847E-2</v>
      </c>
      <c r="Q28" s="4">
        <f t="shared" si="6"/>
        <v>0.32229914285714284</v>
      </c>
      <c r="R28" s="4">
        <f t="shared" si="7"/>
        <v>1.4285714284539048E-7</v>
      </c>
      <c r="S28" s="4">
        <f t="shared" si="8"/>
        <v>1.2229142857142846E-2</v>
      </c>
    </row>
    <row r="29" spans="1:19" x14ac:dyDescent="0.25">
      <c r="A29" s="2" cm="1">
        <f t="array" ref="A29">MMULT(M29:S29,Feuil8!$B$2:$B$8)</f>
        <v>6.7000004999999987E-2</v>
      </c>
      <c r="B29" s="2">
        <v>6.6999939999999994E-2</v>
      </c>
      <c r="C29" s="2">
        <v>0.101339091924167</v>
      </c>
      <c r="D29" s="1">
        <v>0.29013699999999998</v>
      </c>
      <c r="E29">
        <v>0.28301999999999999</v>
      </c>
      <c r="F29">
        <v>0.1</v>
      </c>
      <c r="G29">
        <v>0.05</v>
      </c>
      <c r="H29">
        <v>0.26637</v>
      </c>
      <c r="I29">
        <v>0</v>
      </c>
      <c r="J29">
        <v>1.0472E-2</v>
      </c>
      <c r="K29">
        <f t="shared" si="0"/>
        <v>0.99999899999999997</v>
      </c>
      <c r="M29" s="4">
        <f t="shared" si="2"/>
        <v>0.29013714285714282</v>
      </c>
      <c r="N29" s="4">
        <f t="shared" si="3"/>
        <v>0.28302014285714283</v>
      </c>
      <c r="O29" s="4">
        <f t="shared" si="4"/>
        <v>0.10000014285714287</v>
      </c>
      <c r="P29" s="4">
        <f t="shared" si="5"/>
        <v>5.0000142857142861E-2</v>
      </c>
      <c r="Q29" s="4">
        <f t="shared" si="6"/>
        <v>0.26637014285714283</v>
      </c>
      <c r="R29" s="4">
        <f t="shared" si="7"/>
        <v>1.428571428612508E-7</v>
      </c>
      <c r="S29" s="4">
        <f t="shared" si="8"/>
        <v>1.0472142857142862E-2</v>
      </c>
    </row>
    <row r="30" spans="1:19" x14ac:dyDescent="0.25">
      <c r="A30" s="2" cm="1">
        <f t="array" ref="A30">MMULT(M30:S30,Feuil8!$B$2:$B$8)</f>
        <v>6.8000000000000005E-2</v>
      </c>
      <c r="B30" s="2">
        <v>6.8000060000000001E-2</v>
      </c>
      <c r="C30" s="2">
        <v>0.10747101179421201</v>
      </c>
      <c r="D30" s="1">
        <v>0.31617899999999999</v>
      </c>
      <c r="E30">
        <v>0.314664</v>
      </c>
      <c r="F30">
        <v>0.1</v>
      </c>
      <c r="G30">
        <v>0.05</v>
      </c>
      <c r="H30">
        <v>0.21044199999999999</v>
      </c>
      <c r="I30">
        <v>0</v>
      </c>
      <c r="J30">
        <v>8.7150000000000005E-3</v>
      </c>
      <c r="K30">
        <f t="shared" si="0"/>
        <v>1</v>
      </c>
      <c r="M30" s="4">
        <f t="shared" si="2"/>
        <v>0.31617899999999999</v>
      </c>
      <c r="N30" s="4">
        <f t="shared" si="3"/>
        <v>0.314664</v>
      </c>
      <c r="O30" s="4">
        <f t="shared" si="4"/>
        <v>0.1</v>
      </c>
      <c r="P30" s="4">
        <f t="shared" si="5"/>
        <v>0.05</v>
      </c>
      <c r="Q30" s="4">
        <f t="shared" si="6"/>
        <v>0.21044199999999999</v>
      </c>
      <c r="R30" s="4">
        <f t="shared" si="7"/>
        <v>0</v>
      </c>
      <c r="S30" s="4">
        <f t="shared" si="8"/>
        <v>8.7150000000000005E-3</v>
      </c>
    </row>
    <row r="31" spans="1:19" x14ac:dyDescent="0.25">
      <c r="A31" s="2" cm="1">
        <f t="array" ref="A31">MMULT(M31:S31,Feuil8!$B$2:$B$8)</f>
        <v>6.8999995999999994E-2</v>
      </c>
      <c r="B31" s="2">
        <v>6.8999995999999994E-2</v>
      </c>
      <c r="C31" s="2">
        <v>0.11370719608483799</v>
      </c>
      <c r="D31" s="1">
        <v>0.342221</v>
      </c>
      <c r="E31">
        <v>0.34630699999999998</v>
      </c>
      <c r="F31">
        <v>0.1</v>
      </c>
      <c r="G31">
        <v>0.05</v>
      </c>
      <c r="H31">
        <v>0.15451300000000001</v>
      </c>
      <c r="I31">
        <v>0</v>
      </c>
      <c r="J31">
        <v>6.9589999999999999E-3</v>
      </c>
      <c r="K31">
        <f t="shared" si="0"/>
        <v>1</v>
      </c>
      <c r="M31" s="4">
        <f t="shared" si="2"/>
        <v>0.342221</v>
      </c>
      <c r="N31" s="4">
        <f t="shared" si="3"/>
        <v>0.34630699999999998</v>
      </c>
      <c r="O31" s="4">
        <f t="shared" si="4"/>
        <v>0.1</v>
      </c>
      <c r="P31" s="4">
        <f t="shared" si="5"/>
        <v>0.05</v>
      </c>
      <c r="Q31" s="4">
        <f t="shared" si="6"/>
        <v>0.15451300000000001</v>
      </c>
      <c r="R31" s="4">
        <f t="shared" si="7"/>
        <v>0</v>
      </c>
      <c r="S31" s="4">
        <f t="shared" si="8"/>
        <v>6.9589999999999999E-3</v>
      </c>
    </row>
    <row r="32" spans="1:19" x14ac:dyDescent="0.25">
      <c r="A32" s="2" cm="1">
        <f t="array" ref="A32">MMULT(M32:S32,Feuil8!$B$2:$B$8)</f>
        <v>7.1334709999999996E-2</v>
      </c>
      <c r="B32" s="2">
        <v>6.5935939999999998E-2</v>
      </c>
      <c r="C32" s="2">
        <v>0.120010206390906</v>
      </c>
      <c r="D32" s="1">
        <v>0.36694199999999999</v>
      </c>
      <c r="E32">
        <v>0.4</v>
      </c>
      <c r="F32">
        <v>0.1</v>
      </c>
      <c r="G32">
        <v>0.05</v>
      </c>
      <c r="H32">
        <v>0</v>
      </c>
      <c r="I32">
        <v>0</v>
      </c>
      <c r="J32">
        <v>0</v>
      </c>
      <c r="K32">
        <f t="shared" si="0"/>
        <v>0.91694200000000003</v>
      </c>
      <c r="M32" s="4">
        <f t="shared" si="2"/>
        <v>0.37880742857142857</v>
      </c>
      <c r="N32" s="4">
        <f t="shared" si="3"/>
        <v>0.4118654285714286</v>
      </c>
      <c r="O32" s="4">
        <f t="shared" si="4"/>
        <v>0.11186542857142857</v>
      </c>
      <c r="P32" s="4">
        <f t="shared" si="5"/>
        <v>6.1865428571428571E-2</v>
      </c>
      <c r="Q32" s="4">
        <f t="shared" si="6"/>
        <v>1.1865428571428567E-2</v>
      </c>
      <c r="R32" s="4">
        <f t="shared" si="7"/>
        <v>1.1865428571428567E-2</v>
      </c>
      <c r="S32" s="4">
        <f t="shared" si="8"/>
        <v>1.1865428571428567E-2</v>
      </c>
    </row>
    <row r="33" spans="1:19" x14ac:dyDescent="0.25">
      <c r="A33" s="2" cm="1">
        <f t="array" ref="A33">MMULT(M33:S33,Feuil8!$B$2:$B$8)</f>
        <v>7.0000003000000005E-2</v>
      </c>
      <c r="B33" s="2">
        <v>7.0000003000000005E-2</v>
      </c>
      <c r="C33" s="2">
        <v>0.12003174103661</v>
      </c>
      <c r="D33" s="1">
        <v>0.36826300000000001</v>
      </c>
      <c r="E33">
        <v>0.37795099999999998</v>
      </c>
      <c r="F33">
        <v>0.1</v>
      </c>
      <c r="G33">
        <v>0.05</v>
      </c>
      <c r="H33">
        <v>9.8584000000000005E-2</v>
      </c>
      <c r="I33">
        <v>0</v>
      </c>
      <c r="J33">
        <v>5.202E-3</v>
      </c>
      <c r="K33">
        <f t="shared" si="0"/>
        <v>1</v>
      </c>
      <c r="M33" s="4">
        <f t="shared" si="2"/>
        <v>0.36826300000000001</v>
      </c>
      <c r="N33" s="4">
        <f t="shared" si="3"/>
        <v>0.37795099999999998</v>
      </c>
      <c r="O33" s="4">
        <f t="shared" si="4"/>
        <v>0.1</v>
      </c>
      <c r="P33" s="4">
        <f t="shared" si="5"/>
        <v>0.05</v>
      </c>
      <c r="Q33" s="4">
        <f t="shared" si="6"/>
        <v>9.8584000000000005E-2</v>
      </c>
      <c r="R33" s="4">
        <f t="shared" si="7"/>
        <v>0</v>
      </c>
      <c r="S33" s="4">
        <f t="shared" si="8"/>
        <v>5.202E-3</v>
      </c>
    </row>
    <row r="34" spans="1:19" x14ac:dyDescent="0.25">
      <c r="A34" s="2" cm="1">
        <f t="array" ref="A34">MMULT(M34:S34,Feuil8!$B$2:$B$8)</f>
        <v>7.1347460000000001E-2</v>
      </c>
      <c r="B34" s="2">
        <v>6.6114439999999997E-2</v>
      </c>
      <c r="C34" s="2">
        <v>0.12035405275628</v>
      </c>
      <c r="D34" s="1">
        <v>0.36949199999999999</v>
      </c>
      <c r="E34">
        <v>0.4</v>
      </c>
      <c r="F34">
        <v>0.1</v>
      </c>
      <c r="G34">
        <v>0.05</v>
      </c>
      <c r="H34">
        <v>0</v>
      </c>
      <c r="I34">
        <v>0</v>
      </c>
      <c r="J34">
        <v>0</v>
      </c>
      <c r="K34">
        <f t="shared" si="0"/>
        <v>0.91949200000000009</v>
      </c>
      <c r="M34" s="4">
        <f t="shared" si="2"/>
        <v>0.38099314285714281</v>
      </c>
      <c r="N34" s="4">
        <f t="shared" si="3"/>
        <v>0.41150114285714284</v>
      </c>
      <c r="O34" s="4">
        <f t="shared" si="4"/>
        <v>0.11150114285714285</v>
      </c>
      <c r="P34" s="4">
        <f t="shared" si="5"/>
        <v>6.1501142857142851E-2</v>
      </c>
      <c r="Q34" s="4">
        <f t="shared" si="6"/>
        <v>1.1501142857142845E-2</v>
      </c>
      <c r="R34" s="4">
        <f t="shared" si="7"/>
        <v>1.1501142857142845E-2</v>
      </c>
      <c r="S34" s="4">
        <f t="shared" si="8"/>
        <v>1.1501142857142845E-2</v>
      </c>
    </row>
    <row r="35" spans="1:19" x14ac:dyDescent="0.25">
      <c r="A35" s="2" cm="1">
        <f t="array" ref="A35">MMULT(M35:S35,Feuil8!$B$2:$B$8)</f>
        <v>7.1361505000000006E-2</v>
      </c>
      <c r="B35" s="2">
        <v>6.631107E-2</v>
      </c>
      <c r="C35" s="2">
        <v>0.120733184273978</v>
      </c>
      <c r="D35" s="1">
        <v>0.37230099999999999</v>
      </c>
      <c r="E35">
        <v>0.4</v>
      </c>
      <c r="F35">
        <v>0.1</v>
      </c>
      <c r="G35">
        <v>0.05</v>
      </c>
      <c r="H35">
        <v>0</v>
      </c>
      <c r="I35">
        <v>0</v>
      </c>
      <c r="J35">
        <v>0</v>
      </c>
      <c r="K35">
        <f t="shared" si="0"/>
        <v>0.92230100000000004</v>
      </c>
      <c r="M35" s="4">
        <f t="shared" si="2"/>
        <v>0.38340085714285715</v>
      </c>
      <c r="N35" s="4">
        <f t="shared" si="3"/>
        <v>0.41109985714285718</v>
      </c>
      <c r="O35" s="4">
        <f t="shared" si="4"/>
        <v>0.11109985714285714</v>
      </c>
      <c r="P35" s="4">
        <f t="shared" si="5"/>
        <v>6.1099857142857136E-2</v>
      </c>
      <c r="Q35" s="4">
        <f t="shared" si="6"/>
        <v>1.1099857142857137E-2</v>
      </c>
      <c r="R35" s="4">
        <f t="shared" si="7"/>
        <v>1.1099857142857137E-2</v>
      </c>
      <c r="S35" s="4">
        <f t="shared" si="8"/>
        <v>1.1099857142857137E-2</v>
      </c>
    </row>
    <row r="36" spans="1:19" x14ac:dyDescent="0.25">
      <c r="A36" s="2" cm="1">
        <f t="array" ref="A36">MMULT(M36:S36,Feuil8!$B$2:$B$8)</f>
        <v>7.1377060000000006E-2</v>
      </c>
      <c r="B36" s="2">
        <v>6.6528840000000006E-2</v>
      </c>
      <c r="C36" s="2">
        <v>0.121153514494565</v>
      </c>
      <c r="D36" s="1">
        <v>0.37541200000000002</v>
      </c>
      <c r="E36">
        <v>0.4</v>
      </c>
      <c r="F36">
        <v>0.1</v>
      </c>
      <c r="G36">
        <v>0.05</v>
      </c>
      <c r="H36">
        <v>0</v>
      </c>
      <c r="I36">
        <v>0</v>
      </c>
      <c r="J36">
        <v>0</v>
      </c>
      <c r="K36">
        <f t="shared" si="0"/>
        <v>0.92541200000000001</v>
      </c>
      <c r="M36" s="4">
        <f t="shared" si="2"/>
        <v>0.38606742857142862</v>
      </c>
      <c r="N36" s="4">
        <f t="shared" si="3"/>
        <v>0.41065542857142862</v>
      </c>
      <c r="O36" s="4">
        <f t="shared" si="4"/>
        <v>0.11065542857142857</v>
      </c>
      <c r="P36" s="4">
        <f t="shared" si="5"/>
        <v>6.0655428571428568E-2</v>
      </c>
      <c r="Q36" s="4">
        <f t="shared" si="6"/>
        <v>1.0655428571428569E-2</v>
      </c>
      <c r="R36" s="4">
        <f t="shared" si="7"/>
        <v>1.0655428571428569E-2</v>
      </c>
      <c r="S36" s="4">
        <f t="shared" si="8"/>
        <v>1.0655428571428569E-2</v>
      </c>
    </row>
    <row r="37" spans="1:19" x14ac:dyDescent="0.25">
      <c r="A37" s="2" cm="1">
        <f t="array" ref="A37">MMULT(M37:S37,Feuil8!$B$2:$B$8)</f>
        <v>7.139437500000001E-2</v>
      </c>
      <c r="B37" s="2">
        <v>6.6771250000000004E-2</v>
      </c>
      <c r="C37" s="2">
        <v>0.121621939158612</v>
      </c>
      <c r="D37" s="1">
        <v>0.37887500000000002</v>
      </c>
      <c r="E37">
        <v>0.4</v>
      </c>
      <c r="F37">
        <v>0.1</v>
      </c>
      <c r="G37">
        <v>0.05</v>
      </c>
      <c r="H37">
        <v>0</v>
      </c>
      <c r="I37">
        <v>0</v>
      </c>
      <c r="J37">
        <v>0</v>
      </c>
      <c r="K37">
        <f t="shared" si="0"/>
        <v>0.92887500000000001</v>
      </c>
      <c r="M37" s="4">
        <f t="shared" si="2"/>
        <v>0.38903571428571432</v>
      </c>
      <c r="N37" s="4">
        <f t="shared" si="3"/>
        <v>0.41016071428571432</v>
      </c>
      <c r="O37" s="4">
        <f t="shared" si="4"/>
        <v>0.11016071428571429</v>
      </c>
      <c r="P37" s="4">
        <f t="shared" si="5"/>
        <v>6.016071428571429E-2</v>
      </c>
      <c r="Q37" s="4">
        <f t="shared" si="6"/>
        <v>1.0160714285714285E-2</v>
      </c>
      <c r="R37" s="4">
        <f t="shared" si="7"/>
        <v>1.0160714285714285E-2</v>
      </c>
      <c r="S37" s="4">
        <f t="shared" si="8"/>
        <v>1.0160714285714285E-2</v>
      </c>
    </row>
    <row r="38" spans="1:19" x14ac:dyDescent="0.25">
      <c r="A38" s="2" cm="1">
        <f t="array" ref="A38">MMULT(M38:S38,Feuil8!$B$2:$B$8)</f>
        <v>7.1413769999999988E-2</v>
      </c>
      <c r="B38" s="2">
        <v>6.7042779999999996E-2</v>
      </c>
      <c r="C38" s="2">
        <v>0.12214729630151</v>
      </c>
      <c r="D38" s="1">
        <v>0.38275399999999998</v>
      </c>
      <c r="E38">
        <v>0.4</v>
      </c>
      <c r="F38">
        <v>0.1</v>
      </c>
      <c r="G38">
        <v>0.05</v>
      </c>
      <c r="H38">
        <v>0</v>
      </c>
      <c r="I38">
        <v>0</v>
      </c>
      <c r="J38">
        <v>0</v>
      </c>
      <c r="K38">
        <f t="shared" si="0"/>
        <v>0.93275399999999997</v>
      </c>
      <c r="M38" s="4">
        <f t="shared" si="2"/>
        <v>0.39236057142857139</v>
      </c>
      <c r="N38" s="4">
        <f t="shared" si="3"/>
        <v>0.40960657142857143</v>
      </c>
      <c r="O38" s="4">
        <f t="shared" si="4"/>
        <v>0.10960657142857144</v>
      </c>
      <c r="P38" s="4">
        <f t="shared" si="5"/>
        <v>5.9606571428571439E-2</v>
      </c>
      <c r="Q38" s="4">
        <f t="shared" si="6"/>
        <v>9.6065714285714331E-3</v>
      </c>
      <c r="R38" s="4">
        <f t="shared" si="7"/>
        <v>9.6065714285714331E-3</v>
      </c>
      <c r="S38" s="4">
        <f t="shared" si="8"/>
        <v>9.6065714285714331E-3</v>
      </c>
    </row>
    <row r="39" spans="1:19" x14ac:dyDescent="0.25">
      <c r="A39" s="2" cm="1">
        <f t="array" ref="A39">MMULT(M39:S39,Feuil8!$B$2:$B$8)</f>
        <v>7.1435645000000006E-2</v>
      </c>
      <c r="B39" s="2">
        <v>6.7349030000000004E-2</v>
      </c>
      <c r="C39" s="2">
        <v>0.122740658359862</v>
      </c>
      <c r="D39" s="1">
        <v>0.387129</v>
      </c>
      <c r="E39">
        <v>0.4</v>
      </c>
      <c r="F39">
        <v>0.1</v>
      </c>
      <c r="G39">
        <v>0.05</v>
      </c>
      <c r="H39">
        <v>0</v>
      </c>
      <c r="I39">
        <v>0</v>
      </c>
      <c r="J39">
        <v>0</v>
      </c>
      <c r="K39">
        <f t="shared" si="0"/>
        <v>0.93712899999999999</v>
      </c>
      <c r="M39" s="4">
        <f t="shared" si="2"/>
        <v>0.39611057142857142</v>
      </c>
      <c r="N39" s="4">
        <f t="shared" si="3"/>
        <v>0.40898157142857144</v>
      </c>
      <c r="O39" s="4">
        <f t="shared" si="4"/>
        <v>0.10898157142857144</v>
      </c>
      <c r="P39" s="4">
        <f t="shared" si="5"/>
        <v>5.8981571428571432E-2</v>
      </c>
      <c r="Q39" s="4">
        <f t="shared" si="6"/>
        <v>8.9815714285714308E-3</v>
      </c>
      <c r="R39" s="4">
        <f t="shared" si="7"/>
        <v>8.9815714285714308E-3</v>
      </c>
      <c r="S39" s="4">
        <f t="shared" si="8"/>
        <v>8.9815714285714308E-3</v>
      </c>
    </row>
    <row r="40" spans="1:19" x14ac:dyDescent="0.25">
      <c r="A40" s="2" cm="1">
        <f t="array" ref="A40">MMULT(M40:S40,Feuil8!$B$2:$B$8)</f>
        <v>7.1460505000000007E-2</v>
      </c>
      <c r="B40" s="2">
        <v>6.7697069999999998E-2</v>
      </c>
      <c r="C40" s="2">
        <v>0.123416039703272</v>
      </c>
      <c r="D40" s="1">
        <v>0.39210099999999998</v>
      </c>
      <c r="E40">
        <v>0.4</v>
      </c>
      <c r="F40">
        <v>0.1</v>
      </c>
      <c r="G40">
        <v>0.05</v>
      </c>
      <c r="H40">
        <v>0</v>
      </c>
      <c r="I40">
        <v>0</v>
      </c>
      <c r="J40">
        <v>0</v>
      </c>
      <c r="K40">
        <f t="shared" si="0"/>
        <v>0.94210099999999997</v>
      </c>
      <c r="M40" s="4">
        <f t="shared" si="2"/>
        <v>0.40037228571428568</v>
      </c>
      <c r="N40" s="4">
        <f t="shared" si="3"/>
        <v>0.40827128571428573</v>
      </c>
      <c r="O40" s="4">
        <f t="shared" si="4"/>
        <v>0.10827128571428572</v>
      </c>
      <c r="P40" s="4">
        <f t="shared" si="5"/>
        <v>5.827128571428572E-2</v>
      </c>
      <c r="Q40" s="4">
        <f t="shared" si="6"/>
        <v>8.2712857142857189E-3</v>
      </c>
      <c r="R40" s="4">
        <f t="shared" si="7"/>
        <v>8.2712857142857189E-3</v>
      </c>
      <c r="S40" s="4">
        <f t="shared" si="8"/>
        <v>8.2712857142857189E-3</v>
      </c>
    </row>
    <row r="41" spans="1:19" x14ac:dyDescent="0.25">
      <c r="A41" s="2" cm="1">
        <f t="array" ref="A41">MMULT(M41:S41,Feuil8!$B$2:$B$8)</f>
        <v>7.1489010000000006E-2</v>
      </c>
      <c r="B41" s="2">
        <v>6.8096139999999999E-2</v>
      </c>
      <c r="C41" s="2">
        <v>0.12419179932938799</v>
      </c>
      <c r="D41" s="1">
        <v>0.39780199999999999</v>
      </c>
      <c r="E41">
        <v>0.4</v>
      </c>
      <c r="F41">
        <v>0.1</v>
      </c>
      <c r="G41">
        <v>0.05</v>
      </c>
      <c r="H41">
        <v>0</v>
      </c>
      <c r="I41">
        <v>0</v>
      </c>
      <c r="J41">
        <v>0</v>
      </c>
      <c r="K41">
        <f t="shared" si="0"/>
        <v>0.94780200000000003</v>
      </c>
      <c r="M41" s="4">
        <f t="shared" si="2"/>
        <v>0.40525885714285714</v>
      </c>
      <c r="N41" s="4">
        <f t="shared" si="3"/>
        <v>0.40745685714285718</v>
      </c>
      <c r="O41" s="4">
        <f t="shared" si="4"/>
        <v>0.10745685714285715</v>
      </c>
      <c r="P41" s="4">
        <f t="shared" si="5"/>
        <v>5.7456857142857143E-2</v>
      </c>
      <c r="Q41" s="4">
        <f t="shared" si="6"/>
        <v>7.4568571428571383E-3</v>
      </c>
      <c r="R41" s="4">
        <f t="shared" si="7"/>
        <v>7.4568571428571383E-3</v>
      </c>
      <c r="S41" s="4">
        <f t="shared" si="8"/>
        <v>7.4568571428571383E-3</v>
      </c>
    </row>
    <row r="42" spans="1:19" x14ac:dyDescent="0.25">
      <c r="A42" s="2" cm="1">
        <f t="array" ref="A42">MMULT(M42:S42,Feuil8!$B$2:$B$8)</f>
        <v>7.1480109999999986E-2</v>
      </c>
      <c r="B42" s="2">
        <v>6.8488679999999996E-2</v>
      </c>
      <c r="C42" s="2">
        <v>0.12477519736022601</v>
      </c>
      <c r="D42" s="1">
        <v>0.4</v>
      </c>
      <c r="E42">
        <v>0.4</v>
      </c>
      <c r="F42">
        <v>0.1</v>
      </c>
      <c r="G42">
        <v>0.05</v>
      </c>
      <c r="H42">
        <v>0</v>
      </c>
      <c r="I42">
        <v>0</v>
      </c>
      <c r="J42">
        <v>3.9779999999999998E-3</v>
      </c>
      <c r="K42">
        <f t="shared" si="0"/>
        <v>0.9539780000000001</v>
      </c>
      <c r="M42" s="4">
        <f t="shared" si="2"/>
        <v>0.40657457142857145</v>
      </c>
      <c r="N42" s="4">
        <f t="shared" si="3"/>
        <v>0.40657457142857145</v>
      </c>
      <c r="O42" s="4">
        <f t="shared" si="4"/>
        <v>0.10657457142857142</v>
      </c>
      <c r="P42" s="4">
        <f t="shared" si="5"/>
        <v>5.6574571428571419E-2</v>
      </c>
      <c r="Q42" s="4">
        <f t="shared" si="6"/>
        <v>6.574571428571414E-3</v>
      </c>
      <c r="R42" s="4">
        <f t="shared" si="7"/>
        <v>6.574571428571414E-3</v>
      </c>
      <c r="S42" s="4">
        <f t="shared" si="8"/>
        <v>1.0552571428571415E-2</v>
      </c>
    </row>
    <row r="43" spans="1:19" x14ac:dyDescent="0.25">
      <c r="A43" s="2" cm="1">
        <f t="array" ref="A43">MMULT(M43:S43,Feuil8!$B$2:$B$8)</f>
        <v>7.1445634999999993E-2</v>
      </c>
      <c r="B43" s="2">
        <v>6.8902379999999999E-2</v>
      </c>
      <c r="C43" s="2">
        <v>0.12526953548179601</v>
      </c>
      <c r="D43" s="1">
        <v>0.4</v>
      </c>
      <c r="E43">
        <v>0.4</v>
      </c>
      <c r="F43">
        <v>0.1</v>
      </c>
      <c r="G43">
        <v>0.05</v>
      </c>
      <c r="H43">
        <v>0</v>
      </c>
      <c r="I43">
        <v>0</v>
      </c>
      <c r="J43">
        <v>1.0873000000000001E-2</v>
      </c>
      <c r="K43">
        <f t="shared" si="0"/>
        <v>0.96087300000000009</v>
      </c>
      <c r="M43" s="4">
        <f t="shared" si="2"/>
        <v>0.40558957142857144</v>
      </c>
      <c r="N43" s="4">
        <f t="shared" si="3"/>
        <v>0.40558957142857144</v>
      </c>
      <c r="O43" s="4">
        <f t="shared" si="4"/>
        <v>0.10558957142857142</v>
      </c>
      <c r="P43" s="4">
        <f t="shared" si="5"/>
        <v>5.5589571428571419E-2</v>
      </c>
      <c r="Q43" s="4">
        <f t="shared" si="6"/>
        <v>5.589571428571416E-3</v>
      </c>
      <c r="R43" s="4">
        <f t="shared" si="7"/>
        <v>5.589571428571416E-3</v>
      </c>
      <c r="S43" s="4">
        <f t="shared" si="8"/>
        <v>1.6462571428571417E-2</v>
      </c>
    </row>
    <row r="44" spans="1:19" x14ac:dyDescent="0.25">
      <c r="A44" s="2" cm="1">
        <f t="array" ref="A44">MMULT(M44:S44,Feuil8!$B$2:$B$8)</f>
        <v>7.1405415E-2</v>
      </c>
      <c r="B44" s="2">
        <v>6.9385020000000006E-2</v>
      </c>
      <c r="C44" s="2">
        <v>0.125849761828077</v>
      </c>
      <c r="D44" s="1">
        <v>0.4</v>
      </c>
      <c r="E44">
        <v>0.4</v>
      </c>
      <c r="F44">
        <v>0.1</v>
      </c>
      <c r="G44">
        <v>0.05</v>
      </c>
      <c r="H44">
        <v>0</v>
      </c>
      <c r="I44">
        <v>0</v>
      </c>
      <c r="J44">
        <v>1.8917E-2</v>
      </c>
      <c r="K44">
        <f t="shared" si="0"/>
        <v>0.96891700000000003</v>
      </c>
      <c r="M44" s="4">
        <f t="shared" si="2"/>
        <v>0.40444042857142859</v>
      </c>
      <c r="N44" s="4">
        <f t="shared" si="3"/>
        <v>0.40444042857142859</v>
      </c>
      <c r="O44" s="4">
        <f t="shared" si="4"/>
        <v>0.10444042857142857</v>
      </c>
      <c r="P44" s="4">
        <f t="shared" si="5"/>
        <v>5.444042857142857E-2</v>
      </c>
      <c r="Q44" s="4">
        <f t="shared" si="6"/>
        <v>4.4404285714285674E-3</v>
      </c>
      <c r="R44" s="4">
        <f t="shared" si="7"/>
        <v>4.4404285714285674E-3</v>
      </c>
      <c r="S44" s="4">
        <f t="shared" si="8"/>
        <v>2.3357428571428567E-2</v>
      </c>
    </row>
    <row r="45" spans="1:19" x14ac:dyDescent="0.25">
      <c r="A45" s="2" cm="1">
        <f t="array" ref="A45">MMULT(M45:S45,Feuil8!$B$2:$B$8)</f>
        <v>7.1000002000000006E-2</v>
      </c>
      <c r="B45" s="2">
        <v>7.1000002000000006E-2</v>
      </c>
      <c r="C45" s="2">
        <v>0.12644112084467299</v>
      </c>
      <c r="D45" s="1">
        <v>0.4</v>
      </c>
      <c r="E45">
        <v>0.4</v>
      </c>
      <c r="F45">
        <v>0.1</v>
      </c>
      <c r="G45">
        <v>0.05</v>
      </c>
      <c r="H45">
        <v>3.5714000000000003E-2</v>
      </c>
      <c r="I45">
        <v>0</v>
      </c>
      <c r="J45">
        <v>1.4286E-2</v>
      </c>
      <c r="K45">
        <f t="shared" si="0"/>
        <v>1</v>
      </c>
      <c r="M45" s="4">
        <f t="shared" si="2"/>
        <v>0.4</v>
      </c>
      <c r="N45" s="4">
        <f t="shared" si="3"/>
        <v>0.4</v>
      </c>
      <c r="O45" s="4">
        <f t="shared" si="4"/>
        <v>0.1</v>
      </c>
      <c r="P45" s="4">
        <f t="shared" si="5"/>
        <v>0.05</v>
      </c>
      <c r="Q45" s="4">
        <f t="shared" si="6"/>
        <v>3.5714000000000003E-2</v>
      </c>
      <c r="R45" s="4">
        <f t="shared" si="7"/>
        <v>0</v>
      </c>
      <c r="S45" s="4">
        <f t="shared" si="8"/>
        <v>1.4286E-2</v>
      </c>
    </row>
    <row r="46" spans="1:19" x14ac:dyDescent="0.25">
      <c r="A46" s="2" cm="1">
        <f t="array" ref="A46">MMULT(M46:S46,Feuil8!$B$2:$B$8)</f>
        <v>7.1357884999999996E-2</v>
      </c>
      <c r="B46" s="2">
        <v>6.9955379999999998E-2</v>
      </c>
      <c r="C46" s="2">
        <v>0.12654025016986301</v>
      </c>
      <c r="D46" s="1">
        <v>0.4</v>
      </c>
      <c r="E46">
        <v>0.4</v>
      </c>
      <c r="F46">
        <v>0.1</v>
      </c>
      <c r="G46">
        <v>0.05</v>
      </c>
      <c r="H46">
        <v>0</v>
      </c>
      <c r="I46">
        <v>0</v>
      </c>
      <c r="J46">
        <v>2.8423E-2</v>
      </c>
      <c r="K46">
        <f t="shared" si="0"/>
        <v>0.97842300000000004</v>
      </c>
      <c r="M46" s="4">
        <f t="shared" si="2"/>
        <v>0.40308242857142856</v>
      </c>
      <c r="N46" s="4">
        <f t="shared" si="3"/>
        <v>0.40308242857142856</v>
      </c>
      <c r="O46" s="4">
        <f t="shared" si="4"/>
        <v>0.10308242857142857</v>
      </c>
      <c r="P46" s="4">
        <f t="shared" si="5"/>
        <v>5.3082428571428565E-2</v>
      </c>
      <c r="Q46" s="4">
        <f t="shared" si="6"/>
        <v>3.0824285714285654E-3</v>
      </c>
      <c r="R46" s="4">
        <f t="shared" si="7"/>
        <v>3.0824285714285654E-3</v>
      </c>
      <c r="S46" s="4">
        <f t="shared" si="8"/>
        <v>3.1505428571428566E-2</v>
      </c>
    </row>
    <row r="47" spans="1:19" x14ac:dyDescent="0.25">
      <c r="A47" s="2" cm="1">
        <f t="array" ref="A47">MMULT(M47:S47,Feuil8!$B$2:$B$8)</f>
        <v>7.1300854999999996E-2</v>
      </c>
      <c r="B47" s="2">
        <v>7.0639740000000006E-2</v>
      </c>
      <c r="C47" s="2">
        <v>0.12737550625503499</v>
      </c>
      <c r="D47" s="1">
        <v>0.4</v>
      </c>
      <c r="E47">
        <v>0.4</v>
      </c>
      <c r="F47">
        <v>0.1</v>
      </c>
      <c r="G47">
        <v>0.05</v>
      </c>
      <c r="H47">
        <v>0</v>
      </c>
      <c r="I47">
        <v>0</v>
      </c>
      <c r="J47">
        <v>3.9829000000000003E-2</v>
      </c>
      <c r="K47">
        <f t="shared" si="0"/>
        <v>0.98982900000000007</v>
      </c>
      <c r="M47" s="4">
        <f t="shared" si="2"/>
        <v>0.401453</v>
      </c>
      <c r="N47" s="4">
        <f t="shared" si="3"/>
        <v>0.401453</v>
      </c>
      <c r="O47" s="4">
        <f t="shared" si="4"/>
        <v>0.101453</v>
      </c>
      <c r="P47" s="4">
        <f t="shared" si="5"/>
        <v>5.1452999999999992E-2</v>
      </c>
      <c r="Q47" s="4">
        <f t="shared" si="6"/>
        <v>1.4529999999999901E-3</v>
      </c>
      <c r="R47" s="4">
        <f t="shared" si="7"/>
        <v>1.4529999999999901E-3</v>
      </c>
      <c r="S47" s="4">
        <f t="shared" si="8"/>
        <v>4.1281999999999992E-2</v>
      </c>
    </row>
    <row r="48" spans="1:19" x14ac:dyDescent="0.25">
      <c r="B48" s="2"/>
      <c r="C48" s="2"/>
      <c r="D48" s="1"/>
    </row>
    <row r="49" spans="2:19" x14ac:dyDescent="0.25">
      <c r="B49" s="2"/>
      <c r="C49" s="2"/>
      <c r="D49" s="1"/>
    </row>
    <row r="50" spans="2:19" x14ac:dyDescent="0.25">
      <c r="B50" s="2"/>
      <c r="C50" s="2"/>
      <c r="D50" s="1"/>
    </row>
    <row r="51" spans="2:19" x14ac:dyDescent="0.25">
      <c r="B51" s="2"/>
      <c r="C51" s="2"/>
      <c r="D51" s="1"/>
    </row>
    <row r="52" spans="2:19" x14ac:dyDescent="0.25">
      <c r="B52" s="2"/>
      <c r="C52" s="2"/>
      <c r="D52" s="1"/>
      <c r="M52" s="5"/>
      <c r="N52" s="5"/>
      <c r="O52" s="5"/>
      <c r="P52" s="5"/>
      <c r="Q52" s="5"/>
      <c r="R52" s="5"/>
      <c r="S52" s="5"/>
    </row>
    <row r="53" spans="2:19" x14ac:dyDescent="0.25">
      <c r="B53" s="2"/>
      <c r="C53" s="2"/>
      <c r="D53" s="1"/>
      <c r="M53" s="5"/>
      <c r="N53" s="5"/>
      <c r="O53" s="5"/>
      <c r="P53" s="5"/>
      <c r="Q53" s="5"/>
      <c r="R53" s="5"/>
      <c r="S53" s="5"/>
    </row>
    <row r="54" spans="2:19" x14ac:dyDescent="0.25">
      <c r="B54" s="2"/>
      <c r="C54" s="2"/>
      <c r="D54" s="1"/>
      <c r="M54" s="5"/>
      <c r="N54" s="5"/>
      <c r="P54" s="5"/>
      <c r="Q54" s="5"/>
      <c r="R54" s="5"/>
      <c r="S54" s="5"/>
    </row>
    <row r="55" spans="2:19" x14ac:dyDescent="0.25">
      <c r="B55" s="2"/>
      <c r="C55" s="2"/>
      <c r="D55" s="1"/>
      <c r="M55" s="5"/>
      <c r="N55" s="5"/>
      <c r="O55" s="5"/>
      <c r="Q55" s="5"/>
      <c r="R55" s="5"/>
      <c r="S55" s="5"/>
    </row>
    <row r="56" spans="2:19" x14ac:dyDescent="0.25">
      <c r="B56" s="2"/>
      <c r="C56" s="2"/>
      <c r="D56" s="1"/>
      <c r="M56" s="5"/>
      <c r="N56" s="5"/>
      <c r="O56" s="5"/>
      <c r="P56" s="5"/>
      <c r="Q56" s="5"/>
      <c r="R56" s="5"/>
      <c r="S56" s="5"/>
    </row>
    <row r="57" spans="2:19" x14ac:dyDescent="0.25">
      <c r="B57" s="2"/>
      <c r="C57" s="2"/>
      <c r="D57" s="1"/>
      <c r="M57" s="5"/>
      <c r="N57" s="5"/>
      <c r="O57" s="5"/>
      <c r="P57" s="5"/>
      <c r="Q57" s="5"/>
      <c r="R57" s="5"/>
      <c r="S57" s="5"/>
    </row>
    <row r="58" spans="2:19" x14ac:dyDescent="0.25">
      <c r="B58" s="2"/>
      <c r="C58" s="2"/>
      <c r="D58" s="1"/>
      <c r="M58" s="5"/>
      <c r="N58" s="5"/>
      <c r="O58" s="5"/>
      <c r="P58" s="5"/>
      <c r="Q58" s="5"/>
      <c r="R58" s="5"/>
      <c r="S58" s="5"/>
    </row>
    <row r="59" spans="2:19" x14ac:dyDescent="0.25">
      <c r="B59" s="2"/>
      <c r="C59" s="2"/>
      <c r="D59" s="1"/>
    </row>
    <row r="60" spans="2:19" x14ac:dyDescent="0.25">
      <c r="B60" s="2"/>
      <c r="C60" s="2"/>
      <c r="D60" s="1"/>
    </row>
    <row r="61" spans="2:19" x14ac:dyDescent="0.25">
      <c r="B61" s="2"/>
      <c r="C61" s="2"/>
      <c r="D61" s="1"/>
    </row>
    <row r="62" spans="2:19" x14ac:dyDescent="0.25">
      <c r="B62" s="2"/>
      <c r="C62" s="2"/>
      <c r="D62" s="1"/>
    </row>
    <row r="63" spans="2:19" x14ac:dyDescent="0.25">
      <c r="B63" s="2"/>
      <c r="C63" s="2"/>
      <c r="D63" s="1"/>
    </row>
    <row r="64" spans="2:19" x14ac:dyDescent="0.25">
      <c r="B64" s="2"/>
      <c r="C64" s="2"/>
      <c r="D64" s="1"/>
    </row>
    <row r="65" spans="2:4" x14ac:dyDescent="0.25">
      <c r="B65" s="2"/>
      <c r="C65" s="2"/>
      <c r="D65" s="1"/>
    </row>
    <row r="66" spans="2:4" x14ac:dyDescent="0.25">
      <c r="B66" s="2"/>
      <c r="C66" s="2"/>
      <c r="D66" s="1"/>
    </row>
    <row r="67" spans="2:4" x14ac:dyDescent="0.25">
      <c r="B67" s="2"/>
      <c r="C67" s="2"/>
      <c r="D67" s="1"/>
    </row>
    <row r="68" spans="2:4" x14ac:dyDescent="0.25">
      <c r="B68" s="2"/>
      <c r="C68" s="2"/>
      <c r="D68" s="1"/>
    </row>
    <row r="69" spans="2:4" x14ac:dyDescent="0.25">
      <c r="B69" s="2"/>
      <c r="C69" s="2"/>
      <c r="D69" s="1"/>
    </row>
    <row r="70" spans="2:4" x14ac:dyDescent="0.25">
      <c r="B70" s="2"/>
      <c r="C70" s="2"/>
      <c r="D70" s="1"/>
    </row>
    <row r="71" spans="2:4" x14ac:dyDescent="0.25">
      <c r="B71" s="2"/>
      <c r="C71" s="2"/>
      <c r="D71" s="1"/>
    </row>
    <row r="72" spans="2:4" x14ac:dyDescent="0.25">
      <c r="B72" s="2"/>
      <c r="C72" s="2"/>
      <c r="D72" s="1"/>
    </row>
    <row r="73" spans="2:4" x14ac:dyDescent="0.25">
      <c r="B73" s="2"/>
      <c r="C73" s="2"/>
      <c r="D73" s="1"/>
    </row>
    <row r="74" spans="2:4" x14ac:dyDescent="0.25">
      <c r="B74" s="2"/>
      <c r="C74" s="2"/>
      <c r="D74" s="1"/>
    </row>
    <row r="75" spans="2:4" x14ac:dyDescent="0.25">
      <c r="B75" s="2"/>
      <c r="C75" s="2"/>
      <c r="D75" s="1"/>
    </row>
    <row r="76" spans="2:4" x14ac:dyDescent="0.25">
      <c r="B76" s="2"/>
      <c r="C76" s="2"/>
      <c r="D76" s="1"/>
    </row>
    <row r="77" spans="2:4" x14ac:dyDescent="0.25">
      <c r="B77" s="2"/>
      <c r="C77" s="2"/>
      <c r="D77" s="1"/>
    </row>
    <row r="78" spans="2:4" x14ac:dyDescent="0.25">
      <c r="B78" s="2"/>
      <c r="C78" s="2"/>
      <c r="D78" s="1"/>
    </row>
    <row r="79" spans="2:4" x14ac:dyDescent="0.25">
      <c r="B79" s="2"/>
      <c r="C79" s="2"/>
      <c r="D79" s="1"/>
    </row>
    <row r="80" spans="2:4" x14ac:dyDescent="0.25">
      <c r="B80" s="2"/>
      <c r="C80" s="2"/>
      <c r="D80" s="1"/>
    </row>
    <row r="81" spans="2:4" x14ac:dyDescent="0.25">
      <c r="B81" s="2"/>
      <c r="C81" s="2"/>
      <c r="D81" s="1"/>
    </row>
    <row r="82" spans="2:4" x14ac:dyDescent="0.25">
      <c r="B82" s="2"/>
      <c r="C82" s="2"/>
      <c r="D82" s="1"/>
    </row>
    <row r="83" spans="2:4" x14ac:dyDescent="0.25">
      <c r="B83" s="2"/>
      <c r="C83" s="2"/>
      <c r="D83" s="1"/>
    </row>
    <row r="84" spans="2:4" x14ac:dyDescent="0.25">
      <c r="B84" s="2"/>
      <c r="C84" s="2"/>
      <c r="D84" s="1"/>
    </row>
    <row r="85" spans="2:4" x14ac:dyDescent="0.25">
      <c r="B85" s="2"/>
      <c r="C85" s="2"/>
      <c r="D85" s="1"/>
    </row>
    <row r="86" spans="2:4" x14ac:dyDescent="0.25">
      <c r="B86" s="2"/>
      <c r="C86" s="2"/>
      <c r="D86" s="1"/>
    </row>
    <row r="87" spans="2:4" x14ac:dyDescent="0.25">
      <c r="B87" s="2"/>
      <c r="C87" s="2"/>
      <c r="D87" s="1"/>
    </row>
    <row r="88" spans="2:4" x14ac:dyDescent="0.25">
      <c r="B88" s="2"/>
      <c r="C88" s="2"/>
      <c r="D88" s="1"/>
    </row>
    <row r="89" spans="2:4" x14ac:dyDescent="0.25">
      <c r="B89" s="2"/>
      <c r="C89" s="2"/>
      <c r="D89" s="1"/>
    </row>
    <row r="90" spans="2:4" x14ac:dyDescent="0.25">
      <c r="B90" s="2"/>
      <c r="C90" s="2"/>
      <c r="D90" s="1"/>
    </row>
    <row r="91" spans="2:4" x14ac:dyDescent="0.25">
      <c r="B91" s="2"/>
      <c r="C91" s="2"/>
      <c r="D91" s="1"/>
    </row>
    <row r="92" spans="2:4" x14ac:dyDescent="0.25">
      <c r="B92" s="2"/>
      <c r="C92" s="2"/>
      <c r="D92" s="1"/>
    </row>
    <row r="93" spans="2:4" x14ac:dyDescent="0.25">
      <c r="B93" s="2"/>
      <c r="C93" s="2"/>
      <c r="D93" s="1"/>
    </row>
    <row r="94" spans="2:4" x14ac:dyDescent="0.25">
      <c r="B94" s="2"/>
      <c r="C94" s="2"/>
      <c r="D94" s="1"/>
    </row>
    <row r="95" spans="2:4" x14ac:dyDescent="0.25">
      <c r="B95" s="2"/>
      <c r="C95" s="2"/>
      <c r="D95" s="1"/>
    </row>
    <row r="96" spans="2:4" x14ac:dyDescent="0.25">
      <c r="B96" s="2"/>
      <c r="C96" s="2"/>
    </row>
    <row r="97" spans="2:4" x14ac:dyDescent="0.25">
      <c r="B97" s="2"/>
      <c r="C97" s="2"/>
      <c r="D97" s="1"/>
    </row>
    <row r="98" spans="2:4" x14ac:dyDescent="0.25">
      <c r="B98" s="2"/>
      <c r="C98" s="2"/>
      <c r="D98" s="1"/>
    </row>
    <row r="99" spans="2:4" x14ac:dyDescent="0.25">
      <c r="B99" s="2"/>
      <c r="C99" s="2"/>
      <c r="D99" s="1"/>
    </row>
    <row r="100" spans="2:4" x14ac:dyDescent="0.25">
      <c r="B100" s="2"/>
      <c r="C100" s="2"/>
      <c r="D100" s="1"/>
    </row>
    <row r="101" spans="2:4" x14ac:dyDescent="0.25">
      <c r="B101" s="2"/>
      <c r="C101" s="2"/>
      <c r="D101" s="1"/>
    </row>
    <row r="102" spans="2:4" x14ac:dyDescent="0.25">
      <c r="B102" s="2"/>
      <c r="C102" s="2"/>
      <c r="D102" s="1"/>
    </row>
    <row r="103" spans="2:4" x14ac:dyDescent="0.25">
      <c r="B103" s="2"/>
      <c r="C103" s="2"/>
      <c r="D103" s="1"/>
    </row>
    <row r="104" spans="2:4" x14ac:dyDescent="0.25">
      <c r="B104" s="2"/>
      <c r="C104" s="2"/>
      <c r="D104" s="1"/>
    </row>
    <row r="105" spans="2:4" x14ac:dyDescent="0.25">
      <c r="B105" s="2"/>
      <c r="C105" s="2"/>
      <c r="D105" s="1"/>
    </row>
    <row r="106" spans="2:4" x14ac:dyDescent="0.25">
      <c r="B106" s="2"/>
      <c r="C106" s="2"/>
      <c r="D106" s="1"/>
    </row>
    <row r="107" spans="2:4" x14ac:dyDescent="0.25">
      <c r="B107" s="2"/>
      <c r="C107" s="2"/>
      <c r="D107" s="1"/>
    </row>
    <row r="108" spans="2:4" x14ac:dyDescent="0.25">
      <c r="B108" s="2"/>
      <c r="C108" s="2"/>
      <c r="D108" s="1"/>
    </row>
    <row r="109" spans="2:4" x14ac:dyDescent="0.25">
      <c r="B109" s="2"/>
      <c r="C109" s="2"/>
      <c r="D109" s="1"/>
    </row>
    <row r="110" spans="2:4" x14ac:dyDescent="0.25">
      <c r="B110" s="2"/>
      <c r="C110" s="2"/>
      <c r="D110" s="1"/>
    </row>
    <row r="111" spans="2:4" x14ac:dyDescent="0.25">
      <c r="B111" s="2"/>
      <c r="C111" s="2"/>
      <c r="D111" s="1"/>
    </row>
    <row r="112" spans="2:4" x14ac:dyDescent="0.25">
      <c r="B112" s="2"/>
      <c r="C112" s="2"/>
      <c r="D112" s="1"/>
    </row>
    <row r="113" spans="2:4" x14ac:dyDescent="0.25">
      <c r="B113" s="2"/>
      <c r="C113" s="2"/>
      <c r="D113" s="1"/>
    </row>
    <row r="114" spans="2:4" x14ac:dyDescent="0.25">
      <c r="B114" s="2"/>
      <c r="C114" s="2"/>
      <c r="D114" s="1"/>
    </row>
    <row r="115" spans="2:4" x14ac:dyDescent="0.25">
      <c r="B115" s="2"/>
      <c r="C115" s="2"/>
      <c r="D115" s="1"/>
    </row>
    <row r="116" spans="2:4" x14ac:dyDescent="0.25">
      <c r="B116" s="2"/>
      <c r="C116" s="2"/>
      <c r="D116" s="1"/>
    </row>
    <row r="117" spans="2:4" x14ac:dyDescent="0.25">
      <c r="B117" s="2"/>
      <c r="C117" s="2"/>
      <c r="D117" s="1"/>
    </row>
    <row r="118" spans="2:4" x14ac:dyDescent="0.25">
      <c r="B118" s="2"/>
      <c r="C118" s="2"/>
    </row>
    <row r="119" spans="2:4" x14ac:dyDescent="0.25">
      <c r="B119" s="2"/>
      <c r="C119" s="2"/>
      <c r="D119" s="1"/>
    </row>
    <row r="120" spans="2:4" x14ac:dyDescent="0.25">
      <c r="B120" s="2"/>
      <c r="C120" s="2"/>
      <c r="D120" s="1"/>
    </row>
    <row r="121" spans="2:4" x14ac:dyDescent="0.25">
      <c r="B121" s="2"/>
      <c r="C121" s="2"/>
      <c r="D121" s="1"/>
    </row>
    <row r="122" spans="2:4" x14ac:dyDescent="0.25">
      <c r="B122" s="2"/>
      <c r="C122" s="2"/>
      <c r="D122" s="1"/>
    </row>
    <row r="123" spans="2:4" x14ac:dyDescent="0.25">
      <c r="B123" s="2"/>
      <c r="C123" s="2"/>
      <c r="D123" s="1"/>
    </row>
    <row r="124" spans="2:4" x14ac:dyDescent="0.25">
      <c r="B124" s="2"/>
      <c r="C124" s="2"/>
      <c r="D124" s="1"/>
    </row>
    <row r="125" spans="2:4" x14ac:dyDescent="0.25">
      <c r="B125" s="2"/>
      <c r="C125" s="2"/>
      <c r="D125" s="1"/>
    </row>
    <row r="126" spans="2:4" x14ac:dyDescent="0.25">
      <c r="B126" s="2"/>
      <c r="C126" s="2"/>
      <c r="D126" s="1"/>
    </row>
    <row r="127" spans="2:4" x14ac:dyDescent="0.25">
      <c r="B127" s="2"/>
      <c r="C127" s="2"/>
      <c r="D127" s="1"/>
    </row>
    <row r="128" spans="2:4" x14ac:dyDescent="0.25">
      <c r="B128" s="2"/>
      <c r="C128" s="2"/>
      <c r="D128" s="1"/>
    </row>
    <row r="129" spans="2:4" x14ac:dyDescent="0.25">
      <c r="B129" s="2"/>
      <c r="C129" s="2"/>
    </row>
    <row r="130" spans="2:4" x14ac:dyDescent="0.25">
      <c r="B130" s="2"/>
      <c r="C130" s="2"/>
      <c r="D130" s="1"/>
    </row>
    <row r="131" spans="2:4" x14ac:dyDescent="0.25">
      <c r="B131" s="2"/>
      <c r="C131" s="2"/>
      <c r="D131" s="1"/>
    </row>
    <row r="132" spans="2:4" x14ac:dyDescent="0.25">
      <c r="B132" s="2"/>
      <c r="C132" s="2"/>
      <c r="D132" s="1"/>
    </row>
    <row r="133" spans="2:4" x14ac:dyDescent="0.25">
      <c r="B133" s="2"/>
      <c r="C133" s="2"/>
      <c r="D133" s="1"/>
    </row>
    <row r="134" spans="2:4" x14ac:dyDescent="0.25">
      <c r="B134" s="2"/>
      <c r="C134" s="2"/>
      <c r="D134" s="1"/>
    </row>
    <row r="135" spans="2:4" x14ac:dyDescent="0.25">
      <c r="B135" s="2"/>
      <c r="C135" s="2"/>
      <c r="D135" s="1"/>
    </row>
    <row r="136" spans="2:4" x14ac:dyDescent="0.25">
      <c r="B136" s="2"/>
      <c r="C136" s="2"/>
      <c r="D136" s="1"/>
    </row>
    <row r="137" spans="2:4" x14ac:dyDescent="0.25">
      <c r="B137" s="2"/>
      <c r="C137" s="2"/>
      <c r="D137" s="1"/>
    </row>
    <row r="138" spans="2:4" x14ac:dyDescent="0.25">
      <c r="B138" s="2"/>
      <c r="C138" s="2"/>
      <c r="D138" s="1"/>
    </row>
    <row r="139" spans="2:4" x14ac:dyDescent="0.25">
      <c r="B139" s="2"/>
      <c r="C139" s="2"/>
      <c r="D139" s="1"/>
    </row>
    <row r="140" spans="2:4" x14ac:dyDescent="0.25">
      <c r="B140" s="2"/>
      <c r="C140" s="2"/>
      <c r="D140" s="1"/>
    </row>
    <row r="141" spans="2:4" x14ac:dyDescent="0.25">
      <c r="B141" s="2"/>
      <c r="C141" s="2"/>
      <c r="D141" s="1"/>
    </row>
    <row r="142" spans="2:4" x14ac:dyDescent="0.25">
      <c r="B142" s="2"/>
      <c r="C142" s="2"/>
      <c r="D142" s="1"/>
    </row>
    <row r="143" spans="2:4" x14ac:dyDescent="0.25">
      <c r="B143" s="2"/>
      <c r="C143" s="2"/>
      <c r="D143" s="1"/>
    </row>
    <row r="144" spans="2:4" x14ac:dyDescent="0.25">
      <c r="B144" s="2"/>
      <c r="C144" s="2"/>
      <c r="D144" s="1"/>
    </row>
    <row r="145" spans="2:4" x14ac:dyDescent="0.25">
      <c r="B145" s="2"/>
      <c r="C145" s="2"/>
      <c r="D145" s="1"/>
    </row>
    <row r="146" spans="2:4" x14ac:dyDescent="0.25">
      <c r="B146" s="2"/>
      <c r="C146" s="2"/>
      <c r="D146" s="1"/>
    </row>
    <row r="147" spans="2:4" x14ac:dyDescent="0.25">
      <c r="B147" s="2"/>
      <c r="C147" s="2"/>
      <c r="D147" s="1"/>
    </row>
    <row r="148" spans="2:4" x14ac:dyDescent="0.25">
      <c r="B148" s="2"/>
      <c r="C148" s="2"/>
      <c r="D148" s="1"/>
    </row>
    <row r="149" spans="2:4" x14ac:dyDescent="0.25">
      <c r="B149" s="2"/>
      <c r="C149" s="2"/>
      <c r="D149" s="1"/>
    </row>
    <row r="150" spans="2:4" x14ac:dyDescent="0.25">
      <c r="B150" s="2"/>
      <c r="C150" s="2"/>
      <c r="D150" s="1"/>
    </row>
    <row r="151" spans="2:4" x14ac:dyDescent="0.25">
      <c r="B151" s="2"/>
      <c r="C151" s="2"/>
      <c r="D151" s="1"/>
    </row>
    <row r="152" spans="2:4" x14ac:dyDescent="0.25">
      <c r="B152" s="2"/>
      <c r="C152" s="2"/>
      <c r="D152" s="1"/>
    </row>
    <row r="153" spans="2:4" x14ac:dyDescent="0.25">
      <c r="B153" s="2"/>
      <c r="C153" s="2"/>
      <c r="D153" s="1"/>
    </row>
    <row r="154" spans="2:4" x14ac:dyDescent="0.25">
      <c r="B154" s="2"/>
      <c r="C154" s="2"/>
      <c r="D154" s="1"/>
    </row>
    <row r="155" spans="2:4" x14ac:dyDescent="0.25">
      <c r="B155" s="2"/>
      <c r="C155" s="2"/>
      <c r="D155" s="1"/>
    </row>
    <row r="156" spans="2:4" x14ac:dyDescent="0.25">
      <c r="B156" s="2"/>
      <c r="C156" s="2"/>
      <c r="D156" s="1"/>
    </row>
    <row r="157" spans="2:4" x14ac:dyDescent="0.25">
      <c r="B157" s="2"/>
      <c r="C157" s="2"/>
      <c r="D157" s="1"/>
    </row>
    <row r="158" spans="2:4" x14ac:dyDescent="0.25">
      <c r="B158" s="2"/>
      <c r="C158" s="2"/>
      <c r="D158" s="1"/>
    </row>
    <row r="159" spans="2:4" x14ac:dyDescent="0.25">
      <c r="B159" s="2"/>
      <c r="C159" s="2"/>
      <c r="D159" s="1"/>
    </row>
    <row r="160" spans="2:4" x14ac:dyDescent="0.25">
      <c r="B160" s="2"/>
      <c r="C160" s="2"/>
      <c r="D160" s="1"/>
    </row>
    <row r="161" spans="2:4" x14ac:dyDescent="0.25">
      <c r="B161" s="2"/>
      <c r="C161" s="2"/>
      <c r="D161" s="1"/>
    </row>
    <row r="162" spans="2:4" x14ac:dyDescent="0.25">
      <c r="B162" s="2"/>
      <c r="C162" s="2"/>
      <c r="D162" s="1"/>
    </row>
    <row r="163" spans="2:4" x14ac:dyDescent="0.25">
      <c r="B163" s="2"/>
      <c r="C163" s="2"/>
      <c r="D163" s="1"/>
    </row>
    <row r="164" spans="2:4" x14ac:dyDescent="0.25">
      <c r="B164" s="2"/>
      <c r="C164" s="2"/>
      <c r="D164" s="1"/>
    </row>
    <row r="165" spans="2:4" x14ac:dyDescent="0.25">
      <c r="B165" s="2"/>
      <c r="C165" s="2"/>
      <c r="D165" s="1"/>
    </row>
    <row r="166" spans="2:4" x14ac:dyDescent="0.25">
      <c r="B166" s="2"/>
      <c r="C166" s="2"/>
      <c r="D166" s="1"/>
    </row>
    <row r="167" spans="2:4" x14ac:dyDescent="0.25">
      <c r="B167" s="2"/>
      <c r="C167" s="2"/>
      <c r="D167" s="1"/>
    </row>
    <row r="168" spans="2:4" x14ac:dyDescent="0.25">
      <c r="B168" s="2"/>
      <c r="C168" s="2"/>
      <c r="D168" s="1"/>
    </row>
    <row r="169" spans="2:4" x14ac:dyDescent="0.25">
      <c r="B169" s="2"/>
      <c r="C169" s="2"/>
      <c r="D169" s="1"/>
    </row>
    <row r="170" spans="2:4" x14ac:dyDescent="0.25">
      <c r="B170" s="2"/>
      <c r="C170" s="2"/>
    </row>
    <row r="171" spans="2:4" x14ac:dyDescent="0.25">
      <c r="B171" s="2"/>
      <c r="C171" s="2"/>
      <c r="D171" s="1"/>
    </row>
    <row r="172" spans="2:4" x14ac:dyDescent="0.25">
      <c r="B172" s="2"/>
      <c r="C172" s="2"/>
      <c r="D172" s="1"/>
    </row>
    <row r="173" spans="2:4" x14ac:dyDescent="0.25">
      <c r="B173" s="2"/>
      <c r="C173" s="2"/>
      <c r="D173" s="1"/>
    </row>
    <row r="174" spans="2:4" x14ac:dyDescent="0.25">
      <c r="B174" s="2"/>
      <c r="C174" s="2"/>
      <c r="D174" s="1"/>
    </row>
    <row r="175" spans="2:4" x14ac:dyDescent="0.25">
      <c r="B175" s="2"/>
      <c r="C175" s="2"/>
      <c r="D175" s="1"/>
    </row>
    <row r="176" spans="2:4" x14ac:dyDescent="0.25">
      <c r="B176" s="2"/>
      <c r="C176" s="2"/>
      <c r="D176" s="1"/>
    </row>
    <row r="177" spans="2:4" x14ac:dyDescent="0.25">
      <c r="B177" s="2"/>
      <c r="C177" s="2"/>
      <c r="D177" s="1"/>
    </row>
    <row r="178" spans="2:4" x14ac:dyDescent="0.25">
      <c r="B178" s="2"/>
      <c r="C178" s="2"/>
      <c r="D178" s="1"/>
    </row>
    <row r="179" spans="2:4" x14ac:dyDescent="0.25">
      <c r="B179" s="2"/>
      <c r="C179" s="2"/>
      <c r="D179" s="1"/>
    </row>
    <row r="180" spans="2:4" x14ac:dyDescent="0.25">
      <c r="B180" s="2"/>
      <c r="C180" s="2"/>
      <c r="D180" s="1"/>
    </row>
    <row r="181" spans="2:4" x14ac:dyDescent="0.25">
      <c r="B181" s="2"/>
      <c r="C181" s="2"/>
      <c r="D181" s="1"/>
    </row>
    <row r="182" spans="2:4" x14ac:dyDescent="0.25">
      <c r="B182" s="2"/>
      <c r="C182" s="2"/>
      <c r="D182" s="1"/>
    </row>
    <row r="183" spans="2:4" x14ac:dyDescent="0.25">
      <c r="B183" s="2"/>
      <c r="C183" s="2"/>
      <c r="D183" s="1"/>
    </row>
    <row r="184" spans="2:4" x14ac:dyDescent="0.25">
      <c r="B184" s="2"/>
      <c r="C184" s="2"/>
      <c r="D184" s="1"/>
    </row>
    <row r="185" spans="2:4" x14ac:dyDescent="0.25">
      <c r="B185" s="2"/>
      <c r="C185" s="2"/>
      <c r="D185" s="1"/>
    </row>
    <row r="186" spans="2:4" x14ac:dyDescent="0.25">
      <c r="B186" s="2"/>
      <c r="C186" s="2"/>
      <c r="D186" s="1"/>
    </row>
    <row r="187" spans="2:4" x14ac:dyDescent="0.25">
      <c r="B187" s="2"/>
      <c r="C187" s="2"/>
      <c r="D187" s="1"/>
    </row>
    <row r="188" spans="2:4" x14ac:dyDescent="0.25">
      <c r="B188" s="2"/>
      <c r="C188" s="2"/>
      <c r="D188" s="1"/>
    </row>
    <row r="189" spans="2:4" x14ac:dyDescent="0.25">
      <c r="B189" s="2"/>
      <c r="C189" s="2"/>
      <c r="D189" s="1"/>
    </row>
    <row r="190" spans="2:4" x14ac:dyDescent="0.25">
      <c r="B190" s="2"/>
      <c r="C190" s="2"/>
      <c r="D190" s="1"/>
    </row>
    <row r="191" spans="2:4" x14ac:dyDescent="0.25">
      <c r="B191" s="2"/>
      <c r="C191" s="2"/>
      <c r="D191" s="1"/>
    </row>
    <row r="192" spans="2:4" x14ac:dyDescent="0.25">
      <c r="B192" s="2"/>
      <c r="C192" s="2"/>
      <c r="D192" s="1"/>
    </row>
    <row r="193" spans="2:4" x14ac:dyDescent="0.25">
      <c r="B193" s="2"/>
      <c r="C193" s="2"/>
      <c r="D193" s="1"/>
    </row>
    <row r="194" spans="2:4" x14ac:dyDescent="0.25">
      <c r="B194" s="2"/>
      <c r="C194" s="2"/>
      <c r="D194" s="1"/>
    </row>
    <row r="195" spans="2:4" x14ac:dyDescent="0.25">
      <c r="B195" s="2"/>
      <c r="C195" s="2"/>
      <c r="D195" s="1"/>
    </row>
    <row r="196" spans="2:4" x14ac:dyDescent="0.25">
      <c r="B196" s="2"/>
      <c r="C196" s="2"/>
      <c r="D196" s="1"/>
    </row>
    <row r="197" spans="2:4" x14ac:dyDescent="0.25">
      <c r="B197" s="2"/>
      <c r="C197" s="2"/>
      <c r="D197" s="1"/>
    </row>
    <row r="198" spans="2:4" x14ac:dyDescent="0.25">
      <c r="B198" s="2"/>
      <c r="C198" s="2"/>
      <c r="D198" s="1"/>
    </row>
    <row r="199" spans="2:4" x14ac:dyDescent="0.25">
      <c r="B199" s="2"/>
      <c r="C199" s="2"/>
    </row>
    <row r="200" spans="2:4" x14ac:dyDescent="0.25">
      <c r="B200" s="2"/>
      <c r="C200" s="2"/>
      <c r="D200" s="1"/>
    </row>
    <row r="201" spans="2:4" x14ac:dyDescent="0.25">
      <c r="B201" s="2"/>
      <c r="C201" s="2"/>
    </row>
    <row r="202" spans="2:4" x14ac:dyDescent="0.25">
      <c r="B202" s="2"/>
      <c r="C202" s="2"/>
      <c r="D202" s="1"/>
    </row>
    <row r="203" spans="2:4" x14ac:dyDescent="0.25">
      <c r="B203" s="2"/>
      <c r="C203" s="2"/>
      <c r="D203" s="1"/>
    </row>
    <row r="204" spans="2:4" x14ac:dyDescent="0.25">
      <c r="B204" s="2"/>
      <c r="C204" s="2"/>
      <c r="D204" s="1"/>
    </row>
    <row r="205" spans="2:4" x14ac:dyDescent="0.25">
      <c r="B205" s="2"/>
      <c r="C205" s="2"/>
      <c r="D205" s="1"/>
    </row>
    <row r="206" spans="2:4" x14ac:dyDescent="0.25">
      <c r="B206" s="2"/>
      <c r="C206" s="2"/>
      <c r="D206" s="1"/>
    </row>
    <row r="207" spans="2:4" x14ac:dyDescent="0.25">
      <c r="B207" s="2"/>
      <c r="C207" s="2"/>
      <c r="D207" s="1"/>
    </row>
    <row r="208" spans="2:4" x14ac:dyDescent="0.25">
      <c r="B208" s="2"/>
      <c r="C208" s="2"/>
    </row>
    <row r="209" spans="2:4" x14ac:dyDescent="0.25">
      <c r="B209" s="2"/>
      <c r="C209" s="2"/>
    </row>
    <row r="210" spans="2:4" x14ac:dyDescent="0.25">
      <c r="B210" s="2"/>
      <c r="C210" s="2"/>
      <c r="D210" s="1"/>
    </row>
    <row r="211" spans="2:4" x14ac:dyDescent="0.25">
      <c r="B211" s="2"/>
      <c r="C211" s="2"/>
      <c r="D211" s="1"/>
    </row>
    <row r="212" spans="2:4" x14ac:dyDescent="0.25">
      <c r="B212" s="2"/>
      <c r="C212" s="2"/>
      <c r="D212" s="1"/>
    </row>
    <row r="213" spans="2:4" x14ac:dyDescent="0.25">
      <c r="B213" s="2"/>
      <c r="C213" s="2"/>
      <c r="D213" s="1"/>
    </row>
    <row r="214" spans="2:4" x14ac:dyDescent="0.25">
      <c r="B214" s="2"/>
      <c r="C214" s="2"/>
      <c r="D214" s="1"/>
    </row>
    <row r="215" spans="2:4" x14ac:dyDescent="0.25">
      <c r="B215" s="2"/>
      <c r="C215" s="2"/>
      <c r="D215" s="1"/>
    </row>
    <row r="216" spans="2:4" x14ac:dyDescent="0.25">
      <c r="B216" s="2"/>
      <c r="C216" s="2"/>
      <c r="D216" s="1"/>
    </row>
    <row r="217" spans="2:4" x14ac:dyDescent="0.25">
      <c r="B217" s="2"/>
      <c r="C217" s="2"/>
      <c r="D217" s="1"/>
    </row>
    <row r="218" spans="2:4" x14ac:dyDescent="0.25">
      <c r="B218" s="2"/>
      <c r="C218" s="2"/>
      <c r="D218" s="1"/>
    </row>
    <row r="219" spans="2:4" x14ac:dyDescent="0.25">
      <c r="B219" s="2"/>
      <c r="C219" s="2"/>
      <c r="D219" s="1"/>
    </row>
    <row r="220" spans="2:4" x14ac:dyDescent="0.25">
      <c r="B220" s="2"/>
      <c r="C220" s="2"/>
      <c r="D220" s="1"/>
    </row>
    <row r="221" spans="2:4" x14ac:dyDescent="0.25">
      <c r="B221" s="2"/>
      <c r="C221" s="2"/>
      <c r="D221" s="1"/>
    </row>
    <row r="222" spans="2:4" x14ac:dyDescent="0.25">
      <c r="B222" s="2"/>
      <c r="C222" s="2"/>
      <c r="D222" s="1"/>
    </row>
    <row r="223" spans="2:4" x14ac:dyDescent="0.25">
      <c r="B223" s="2"/>
      <c r="C223" s="2"/>
      <c r="D223" s="1"/>
    </row>
    <row r="224" spans="2:4" x14ac:dyDescent="0.25">
      <c r="B224" s="2"/>
      <c r="C224" s="2"/>
      <c r="D224" s="1"/>
    </row>
    <row r="225" spans="2:4" x14ac:dyDescent="0.25">
      <c r="B225" s="2"/>
      <c r="C225" s="2"/>
      <c r="D225" s="1"/>
    </row>
    <row r="226" spans="2:4" x14ac:dyDescent="0.25">
      <c r="B226" s="2"/>
      <c r="C226" s="2"/>
      <c r="D226" s="1"/>
    </row>
    <row r="227" spans="2:4" x14ac:dyDescent="0.25">
      <c r="B227" s="2"/>
      <c r="C227" s="2"/>
      <c r="D227" s="1"/>
    </row>
    <row r="228" spans="2:4" x14ac:dyDescent="0.25">
      <c r="B228" s="2"/>
      <c r="C228" s="2"/>
      <c r="D228" s="1"/>
    </row>
    <row r="229" spans="2:4" x14ac:dyDescent="0.25">
      <c r="B229" s="2"/>
      <c r="C229" s="2"/>
      <c r="D229" s="1"/>
    </row>
    <row r="230" spans="2:4" x14ac:dyDescent="0.25">
      <c r="B230" s="2"/>
      <c r="C230" s="2"/>
      <c r="D230" s="1"/>
    </row>
    <row r="231" spans="2:4" x14ac:dyDescent="0.25">
      <c r="B231" s="2"/>
      <c r="C231" s="2"/>
      <c r="D231" s="1"/>
    </row>
    <row r="232" spans="2:4" x14ac:dyDescent="0.25">
      <c r="B232" s="2"/>
      <c r="C232" s="2"/>
      <c r="D232" s="1"/>
    </row>
    <row r="233" spans="2:4" x14ac:dyDescent="0.25">
      <c r="B233" s="2"/>
      <c r="C233" s="2"/>
      <c r="D233" s="1"/>
    </row>
    <row r="234" spans="2:4" x14ac:dyDescent="0.25">
      <c r="B234" s="2"/>
      <c r="C234" s="2"/>
      <c r="D234" s="1"/>
    </row>
    <row r="235" spans="2:4" x14ac:dyDescent="0.25">
      <c r="B235" s="2"/>
      <c r="C235" s="2"/>
      <c r="D235" s="1"/>
    </row>
    <row r="236" spans="2:4" x14ac:dyDescent="0.25">
      <c r="B236" s="2"/>
      <c r="C236" s="2"/>
      <c r="D236" s="1"/>
    </row>
    <row r="237" spans="2:4" x14ac:dyDescent="0.25">
      <c r="B237" s="2"/>
      <c r="C237" s="2"/>
      <c r="D237" s="1"/>
    </row>
    <row r="238" spans="2:4" x14ac:dyDescent="0.25">
      <c r="B238" s="2"/>
      <c r="C238" s="2"/>
      <c r="D238" s="1"/>
    </row>
    <row r="239" spans="2:4" x14ac:dyDescent="0.25">
      <c r="B239" s="2"/>
      <c r="C239" s="2"/>
      <c r="D239" s="1"/>
    </row>
    <row r="240" spans="2:4" x14ac:dyDescent="0.25">
      <c r="B240" s="2"/>
      <c r="C240" s="2"/>
      <c r="D240" s="1"/>
    </row>
    <row r="241" spans="2:4" x14ac:dyDescent="0.25">
      <c r="B241" s="2"/>
      <c r="C241" s="2"/>
      <c r="D241" s="1"/>
    </row>
    <row r="242" spans="2:4" x14ac:dyDescent="0.25">
      <c r="B242" s="2"/>
      <c r="C242" s="2"/>
      <c r="D242" s="1"/>
    </row>
    <row r="243" spans="2:4" x14ac:dyDescent="0.25">
      <c r="B243" s="2"/>
      <c r="C243" s="2"/>
      <c r="D243" s="1"/>
    </row>
    <row r="244" spans="2:4" x14ac:dyDescent="0.25">
      <c r="B244" s="2"/>
      <c r="C244" s="2"/>
      <c r="D244" s="1"/>
    </row>
    <row r="245" spans="2:4" x14ac:dyDescent="0.25">
      <c r="B245" s="2"/>
      <c r="C245" s="2"/>
      <c r="D245" s="1"/>
    </row>
    <row r="246" spans="2:4" x14ac:dyDescent="0.25">
      <c r="B246" s="2"/>
      <c r="C246" s="2"/>
      <c r="D246" s="1"/>
    </row>
    <row r="247" spans="2:4" x14ac:dyDescent="0.25">
      <c r="B247" s="2"/>
      <c r="C247" s="2"/>
      <c r="D247" s="1"/>
    </row>
    <row r="248" spans="2:4" x14ac:dyDescent="0.25">
      <c r="B248" s="2"/>
      <c r="C248" s="2"/>
      <c r="D248" s="1"/>
    </row>
    <row r="249" spans="2:4" x14ac:dyDescent="0.25">
      <c r="B249" s="2"/>
      <c r="C249" s="2"/>
      <c r="D249" s="1"/>
    </row>
    <row r="250" spans="2:4" x14ac:dyDescent="0.25">
      <c r="B250" s="2"/>
      <c r="C250" s="2"/>
      <c r="D250" s="1"/>
    </row>
    <row r="251" spans="2:4" x14ac:dyDescent="0.25">
      <c r="B251" s="2"/>
      <c r="C251" s="2"/>
      <c r="D251" s="1"/>
    </row>
    <row r="252" spans="2:4" x14ac:dyDescent="0.25">
      <c r="B252" s="2"/>
      <c r="C252" s="2"/>
      <c r="D252" s="1"/>
    </row>
    <row r="253" spans="2:4" x14ac:dyDescent="0.25">
      <c r="B253" s="2"/>
      <c r="C253" s="2"/>
    </row>
    <row r="254" spans="2:4" x14ac:dyDescent="0.25">
      <c r="B254" s="2"/>
      <c r="C254" s="2"/>
      <c r="D254" s="1"/>
    </row>
    <row r="255" spans="2:4" x14ac:dyDescent="0.25">
      <c r="B255" s="2"/>
      <c r="C255" s="2"/>
      <c r="D255" s="1"/>
    </row>
    <row r="256" spans="2:4" x14ac:dyDescent="0.25">
      <c r="B256" s="2"/>
      <c r="C256" s="2"/>
      <c r="D256" s="1"/>
    </row>
    <row r="257" spans="2:4" x14ac:dyDescent="0.25">
      <c r="B257" s="2"/>
      <c r="C257" s="2"/>
      <c r="D257" s="1"/>
    </row>
    <row r="258" spans="2:4" x14ac:dyDescent="0.25">
      <c r="B258" s="2"/>
      <c r="C258" s="2"/>
      <c r="D258" s="1"/>
    </row>
    <row r="259" spans="2:4" x14ac:dyDescent="0.25">
      <c r="B259" s="2"/>
      <c r="C259" s="2"/>
      <c r="D259" s="1"/>
    </row>
    <row r="260" spans="2:4" x14ac:dyDescent="0.25">
      <c r="B260" s="2"/>
      <c r="C260" s="2"/>
      <c r="D260" s="1"/>
    </row>
    <row r="261" spans="2:4" x14ac:dyDescent="0.25">
      <c r="B261" s="2"/>
      <c r="C261" s="2"/>
      <c r="D261" s="1"/>
    </row>
    <row r="262" spans="2:4" x14ac:dyDescent="0.25">
      <c r="B262" s="2"/>
      <c r="C262" s="2"/>
      <c r="D262" s="1"/>
    </row>
    <row r="263" spans="2:4" x14ac:dyDescent="0.25">
      <c r="B263" s="2"/>
      <c r="C263" s="2"/>
      <c r="D263" s="1"/>
    </row>
    <row r="264" spans="2:4" x14ac:dyDescent="0.25">
      <c r="B264" s="2"/>
      <c r="C264" s="2"/>
      <c r="D264" s="1"/>
    </row>
    <row r="265" spans="2:4" x14ac:dyDescent="0.25">
      <c r="B265" s="2"/>
      <c r="C265" s="2"/>
      <c r="D265" s="1"/>
    </row>
    <row r="266" spans="2:4" x14ac:dyDescent="0.25">
      <c r="B266" s="2"/>
      <c r="C266" s="2"/>
      <c r="D266" s="1"/>
    </row>
    <row r="267" spans="2:4" x14ac:dyDescent="0.25">
      <c r="B267" s="2"/>
      <c r="C267" s="2"/>
      <c r="D267" s="1"/>
    </row>
    <row r="268" spans="2:4" x14ac:dyDescent="0.25">
      <c r="B268" s="2"/>
      <c r="C268" s="2"/>
    </row>
    <row r="269" spans="2:4" x14ac:dyDescent="0.25">
      <c r="B269" s="2"/>
      <c r="C269" s="2"/>
      <c r="D269" s="1"/>
    </row>
    <row r="270" spans="2:4" x14ac:dyDescent="0.25">
      <c r="B270" s="2"/>
      <c r="C270" s="2"/>
      <c r="D270" s="1"/>
    </row>
    <row r="271" spans="2:4" x14ac:dyDescent="0.25">
      <c r="B271" s="2"/>
      <c r="C271" s="2"/>
      <c r="D271" s="1"/>
    </row>
    <row r="272" spans="2:4" x14ac:dyDescent="0.25">
      <c r="B272" s="2"/>
      <c r="C272" s="2"/>
      <c r="D272" s="1"/>
    </row>
    <row r="273" spans="2:4" x14ac:dyDescent="0.25">
      <c r="B273" s="2"/>
      <c r="C273" s="2"/>
      <c r="D273" s="1"/>
    </row>
    <row r="274" spans="2:4" x14ac:dyDescent="0.25">
      <c r="B274" s="2"/>
      <c r="C274" s="2"/>
      <c r="D274" s="1"/>
    </row>
    <row r="275" spans="2:4" x14ac:dyDescent="0.25">
      <c r="B275" s="2"/>
      <c r="C275" s="2"/>
      <c r="D275" s="1"/>
    </row>
    <row r="276" spans="2:4" x14ac:dyDescent="0.25">
      <c r="B276" s="2"/>
      <c r="C276" s="2"/>
      <c r="D276" s="1"/>
    </row>
    <row r="277" spans="2:4" x14ac:dyDescent="0.25">
      <c r="B277" s="2"/>
      <c r="C277" s="2"/>
      <c r="D277" s="1"/>
    </row>
    <row r="278" spans="2:4" x14ac:dyDescent="0.25">
      <c r="B278" s="2"/>
      <c r="C278" s="2"/>
      <c r="D278" s="1"/>
    </row>
    <row r="279" spans="2:4" x14ac:dyDescent="0.25">
      <c r="B279" s="2"/>
      <c r="C279" s="2"/>
      <c r="D279" s="1"/>
    </row>
    <row r="280" spans="2:4" x14ac:dyDescent="0.25">
      <c r="B280" s="2"/>
      <c r="C280" s="2"/>
      <c r="D280" s="1"/>
    </row>
    <row r="281" spans="2:4" x14ac:dyDescent="0.25">
      <c r="B281" s="2"/>
      <c r="C281" s="2"/>
      <c r="D281" s="1"/>
    </row>
    <row r="282" spans="2:4" x14ac:dyDescent="0.25">
      <c r="B282" s="2"/>
      <c r="C282" s="2"/>
      <c r="D282" s="1"/>
    </row>
    <row r="283" spans="2:4" x14ac:dyDescent="0.25">
      <c r="B283" s="2"/>
      <c r="C283" s="2"/>
      <c r="D283" s="1"/>
    </row>
    <row r="284" spans="2:4" x14ac:dyDescent="0.25">
      <c r="B284" s="2"/>
      <c r="C284" s="2"/>
      <c r="D284" s="1"/>
    </row>
    <row r="285" spans="2:4" x14ac:dyDescent="0.25">
      <c r="B285" s="2"/>
      <c r="C285" s="2"/>
      <c r="D285" s="1"/>
    </row>
    <row r="286" spans="2:4" x14ac:dyDescent="0.25">
      <c r="B286" s="2"/>
      <c r="C286" s="2"/>
      <c r="D286" s="1"/>
    </row>
    <row r="287" spans="2:4" x14ac:dyDescent="0.25">
      <c r="B287" s="2"/>
      <c r="C287" s="2"/>
      <c r="D287" s="1"/>
    </row>
    <row r="288" spans="2:4" x14ac:dyDescent="0.25">
      <c r="B288" s="2"/>
      <c r="C288" s="2"/>
      <c r="D288" s="1"/>
    </row>
    <row r="289" spans="2:4" x14ac:dyDescent="0.25">
      <c r="B289" s="2"/>
      <c r="C289" s="2"/>
      <c r="D289" s="1"/>
    </row>
    <row r="290" spans="2:4" x14ac:dyDescent="0.25">
      <c r="B290" s="2"/>
      <c r="C290" s="2"/>
      <c r="D290" s="1"/>
    </row>
    <row r="291" spans="2:4" x14ac:dyDescent="0.25">
      <c r="B291" s="2"/>
      <c r="C291" s="2"/>
      <c r="D291" s="1"/>
    </row>
    <row r="292" spans="2:4" x14ac:dyDescent="0.25">
      <c r="B292" s="2"/>
      <c r="C292" s="2"/>
    </row>
    <row r="293" spans="2:4" x14ac:dyDescent="0.25">
      <c r="B293" s="2"/>
      <c r="C293" s="2"/>
      <c r="D293" s="1"/>
    </row>
    <row r="294" spans="2:4" x14ac:dyDescent="0.25">
      <c r="B294" s="2"/>
      <c r="C294" s="2"/>
      <c r="D294" s="1"/>
    </row>
    <row r="295" spans="2:4" x14ac:dyDescent="0.25">
      <c r="B295" s="2"/>
      <c r="C295" s="2"/>
      <c r="D295" s="1"/>
    </row>
    <row r="296" spans="2:4" x14ac:dyDescent="0.25">
      <c r="B296" s="2"/>
      <c r="C296" s="2"/>
      <c r="D296" s="1"/>
    </row>
    <row r="297" spans="2:4" x14ac:dyDescent="0.25">
      <c r="B297" s="2"/>
      <c r="C297" s="2"/>
      <c r="D297" s="1"/>
    </row>
    <row r="298" spans="2:4" x14ac:dyDescent="0.25">
      <c r="B298" s="2"/>
      <c r="C298" s="2"/>
    </row>
    <row r="299" spans="2:4" x14ac:dyDescent="0.25">
      <c r="B299" s="2"/>
      <c r="C299" s="2"/>
    </row>
    <row r="300" spans="2:4" x14ac:dyDescent="0.25">
      <c r="B300" s="2"/>
      <c r="C300" s="2"/>
      <c r="D300" s="1"/>
    </row>
    <row r="301" spans="2:4" x14ac:dyDescent="0.25">
      <c r="B301" s="2"/>
      <c r="C301" s="2"/>
      <c r="D301" s="1"/>
    </row>
    <row r="302" spans="2:4" x14ac:dyDescent="0.25">
      <c r="B302" s="2"/>
      <c r="C302" s="2"/>
      <c r="D302" s="1"/>
    </row>
    <row r="303" spans="2:4" x14ac:dyDescent="0.25">
      <c r="B303" s="2"/>
      <c r="C303" s="2"/>
      <c r="D303" s="1"/>
    </row>
    <row r="304" spans="2:4" x14ac:dyDescent="0.25">
      <c r="B304" s="2"/>
      <c r="C304" s="2"/>
      <c r="D304" s="1"/>
    </row>
    <row r="305" spans="2:4" x14ac:dyDescent="0.25">
      <c r="B305" s="2"/>
      <c r="C305" s="2"/>
      <c r="D305" s="1"/>
    </row>
    <row r="306" spans="2:4" x14ac:dyDescent="0.25">
      <c r="B306" s="2"/>
      <c r="C306" s="2"/>
      <c r="D306" s="1"/>
    </row>
    <row r="307" spans="2:4" x14ac:dyDescent="0.25">
      <c r="B307" s="2"/>
      <c r="C307" s="2"/>
      <c r="D307" s="1"/>
    </row>
    <row r="308" spans="2:4" x14ac:dyDescent="0.25">
      <c r="B308" s="2"/>
      <c r="C308" s="2"/>
      <c r="D308" s="1"/>
    </row>
    <row r="309" spans="2:4" x14ac:dyDescent="0.25">
      <c r="B309" s="2"/>
      <c r="C309" s="2"/>
      <c r="D309" s="1"/>
    </row>
    <row r="310" spans="2:4" x14ac:dyDescent="0.25">
      <c r="B310" s="2"/>
      <c r="C310" s="2"/>
      <c r="D310" s="1"/>
    </row>
    <row r="311" spans="2:4" x14ac:dyDescent="0.25">
      <c r="B311" s="2"/>
      <c r="C311" s="2"/>
      <c r="D311" s="1"/>
    </row>
    <row r="312" spans="2:4" x14ac:dyDescent="0.25">
      <c r="B312" s="2"/>
      <c r="C312" s="2"/>
      <c r="D312" s="1"/>
    </row>
    <row r="313" spans="2:4" x14ac:dyDescent="0.25">
      <c r="B313" s="2"/>
      <c r="C313" s="2"/>
      <c r="D313" s="1"/>
    </row>
    <row r="314" spans="2:4" x14ac:dyDescent="0.25">
      <c r="B314" s="2"/>
      <c r="C314" s="2"/>
    </row>
    <row r="315" spans="2:4" x14ac:dyDescent="0.25">
      <c r="B315" s="2"/>
      <c r="C315" s="2"/>
      <c r="D315" s="1"/>
    </row>
    <row r="316" spans="2:4" x14ac:dyDescent="0.25">
      <c r="B316" s="2"/>
      <c r="C316" s="2"/>
      <c r="D316" s="1"/>
    </row>
    <row r="317" spans="2:4" x14ac:dyDescent="0.25">
      <c r="B317" s="2"/>
      <c r="C317" s="2"/>
      <c r="D317" s="1"/>
    </row>
    <row r="318" spans="2:4" x14ac:dyDescent="0.25">
      <c r="B318" s="2"/>
      <c r="C318" s="2"/>
      <c r="D318" s="1"/>
    </row>
    <row r="319" spans="2:4" x14ac:dyDescent="0.25">
      <c r="B319" s="2"/>
      <c r="C319" s="2"/>
      <c r="D319" s="1"/>
    </row>
    <row r="320" spans="2:4" x14ac:dyDescent="0.25">
      <c r="B320" s="2"/>
      <c r="C320" s="2"/>
    </row>
    <row r="321" spans="2:4" x14ac:dyDescent="0.25">
      <c r="B321" s="2"/>
      <c r="C321" s="2"/>
      <c r="D321" s="1"/>
    </row>
    <row r="322" spans="2:4" x14ac:dyDescent="0.25">
      <c r="B322" s="2"/>
      <c r="C322" s="2"/>
      <c r="D322" s="1"/>
    </row>
    <row r="323" spans="2:4" x14ac:dyDescent="0.25">
      <c r="B323" s="2"/>
      <c r="C323" s="2"/>
    </row>
    <row r="324" spans="2:4" x14ac:dyDescent="0.25">
      <c r="B324" s="2"/>
      <c r="C324" s="2"/>
      <c r="D324" s="1"/>
    </row>
    <row r="325" spans="2:4" x14ac:dyDescent="0.25">
      <c r="B325" s="2"/>
      <c r="C325" s="2"/>
      <c r="D325" s="1"/>
    </row>
    <row r="326" spans="2:4" x14ac:dyDescent="0.25">
      <c r="B326" s="2"/>
      <c r="C326" s="2"/>
      <c r="D326" s="1"/>
    </row>
    <row r="327" spans="2:4" x14ac:dyDescent="0.25">
      <c r="B327" s="2"/>
      <c r="C327" s="2"/>
      <c r="D327" s="1"/>
    </row>
    <row r="328" spans="2:4" x14ac:dyDescent="0.25">
      <c r="B328" s="2"/>
      <c r="C328" s="2"/>
      <c r="D328" s="1"/>
    </row>
    <row r="329" spans="2:4" x14ac:dyDescent="0.25">
      <c r="B329" s="2"/>
      <c r="C329" s="2"/>
      <c r="D329" s="1"/>
    </row>
    <row r="330" spans="2:4" x14ac:dyDescent="0.25">
      <c r="B330" s="2"/>
      <c r="C330" s="2"/>
      <c r="D330" s="1"/>
    </row>
    <row r="331" spans="2:4" x14ac:dyDescent="0.25">
      <c r="B331" s="2"/>
      <c r="C331" s="2"/>
    </row>
    <row r="332" spans="2:4" x14ac:dyDescent="0.25">
      <c r="B332" s="2"/>
      <c r="C332" s="2"/>
    </row>
    <row r="333" spans="2:4" x14ac:dyDescent="0.25">
      <c r="B333" s="2"/>
      <c r="C333" s="2"/>
      <c r="D333" s="1"/>
    </row>
    <row r="334" spans="2:4" x14ac:dyDescent="0.25">
      <c r="B334" s="2"/>
      <c r="C334" s="2"/>
      <c r="D334" s="1"/>
    </row>
    <row r="335" spans="2:4" x14ac:dyDescent="0.25">
      <c r="B335" s="2"/>
      <c r="C335" s="2"/>
      <c r="D335" s="1"/>
    </row>
    <row r="336" spans="2:4" x14ac:dyDescent="0.25">
      <c r="B336" s="2"/>
      <c r="C336" s="2"/>
      <c r="D336" s="1"/>
    </row>
    <row r="337" spans="2:4" x14ac:dyDescent="0.25">
      <c r="B337" s="2"/>
      <c r="C337" s="2"/>
      <c r="D337" s="1"/>
    </row>
    <row r="338" spans="2:4" x14ac:dyDescent="0.25">
      <c r="B338" s="2"/>
      <c r="C338" s="2"/>
      <c r="D338" s="1"/>
    </row>
    <row r="339" spans="2:4" x14ac:dyDescent="0.25">
      <c r="B339" s="2"/>
      <c r="C339" s="2"/>
      <c r="D339" s="1"/>
    </row>
    <row r="340" spans="2:4" x14ac:dyDescent="0.25">
      <c r="B340" s="2"/>
      <c r="C340" s="2"/>
      <c r="D340" s="1"/>
    </row>
    <row r="341" spans="2:4" x14ac:dyDescent="0.25">
      <c r="B341" s="2"/>
      <c r="C341" s="2"/>
      <c r="D341" s="1"/>
    </row>
    <row r="342" spans="2:4" x14ac:dyDescent="0.25">
      <c r="B342" s="2"/>
      <c r="C342" s="2"/>
    </row>
    <row r="343" spans="2:4" x14ac:dyDescent="0.25">
      <c r="B343" s="2"/>
      <c r="C343" s="2"/>
      <c r="D343" s="1"/>
    </row>
    <row r="344" spans="2:4" x14ac:dyDescent="0.25">
      <c r="B344" s="2"/>
      <c r="C344" s="2"/>
      <c r="D344" s="1"/>
    </row>
    <row r="345" spans="2:4" x14ac:dyDescent="0.25">
      <c r="B345" s="2"/>
      <c r="C345" s="2"/>
      <c r="D345" s="1"/>
    </row>
    <row r="346" spans="2:4" x14ac:dyDescent="0.25">
      <c r="B346" s="2"/>
      <c r="C346" s="2"/>
      <c r="D346" s="1"/>
    </row>
    <row r="347" spans="2:4" x14ac:dyDescent="0.25">
      <c r="B347" s="2"/>
      <c r="C347" s="2"/>
      <c r="D347" s="1"/>
    </row>
    <row r="348" spans="2:4" x14ac:dyDescent="0.25">
      <c r="B348" s="2"/>
      <c r="C348" s="2"/>
      <c r="D348" s="1"/>
    </row>
    <row r="349" spans="2:4" x14ac:dyDescent="0.25">
      <c r="B349" s="2"/>
      <c r="C349" s="2"/>
      <c r="D349" s="1"/>
    </row>
    <row r="350" spans="2:4" x14ac:dyDescent="0.25">
      <c r="B350" s="2"/>
      <c r="C350" s="2"/>
      <c r="D350" s="1"/>
    </row>
    <row r="351" spans="2:4" x14ac:dyDescent="0.25">
      <c r="B351" s="2"/>
      <c r="C351" s="2"/>
      <c r="D351" s="1"/>
    </row>
  </sheetData>
  <sortState xmlns:xlrd2="http://schemas.microsoft.com/office/spreadsheetml/2017/richdata2" ref="B2:K351">
    <sortCondition ref="C1:C35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33CB-80D9-44EA-9889-DD06FF770F23}">
  <dimension ref="B2:H47"/>
  <sheetViews>
    <sheetView workbookViewId="0">
      <selection activeCell="B8" sqref="B8"/>
    </sheetView>
  </sheetViews>
  <sheetFormatPr baseColWidth="10" defaultRowHeight="15" x14ac:dyDescent="0.25"/>
  <sheetData>
    <row r="2" spans="2:8" x14ac:dyDescent="0.25">
      <c r="B2">
        <v>7.0000000000000007E-2</v>
      </c>
      <c r="F2" s="2"/>
      <c r="G2" s="2"/>
    </row>
    <row r="3" spans="2:8" x14ac:dyDescent="0.25">
      <c r="B3">
        <v>7.0999999999999994E-2</v>
      </c>
      <c r="F3" s="2"/>
      <c r="G3" s="2"/>
    </row>
    <row r="4" spans="2:8" x14ac:dyDescent="0.25">
      <c r="B4">
        <v>7.5999999999999998E-2</v>
      </c>
      <c r="F4" s="2"/>
      <c r="G4" s="2"/>
    </row>
    <row r="5" spans="2:8" x14ac:dyDescent="0.25">
      <c r="B5">
        <v>8.5000000000000006E-2</v>
      </c>
      <c r="F5" s="2"/>
      <c r="G5" s="2"/>
    </row>
    <row r="6" spans="2:8" x14ac:dyDescent="0.25">
      <c r="B6">
        <v>5.2999999999999999E-2</v>
      </c>
      <c r="F6" s="2"/>
      <c r="G6" s="2"/>
    </row>
    <row r="7" spans="2:8" x14ac:dyDescent="0.25">
      <c r="B7">
        <v>0.04</v>
      </c>
      <c r="F7" s="2"/>
      <c r="G7" s="2"/>
    </row>
    <row r="8" spans="2:8" x14ac:dyDescent="0.25">
      <c r="B8">
        <v>0.06</v>
      </c>
      <c r="F8" s="2"/>
      <c r="G8" s="2"/>
    </row>
    <row r="9" spans="2:8" x14ac:dyDescent="0.25">
      <c r="F9" s="2"/>
      <c r="G9" s="2"/>
    </row>
    <row r="10" spans="2:8" x14ac:dyDescent="0.25">
      <c r="F10" s="2"/>
      <c r="G10" s="2"/>
    </row>
    <row r="11" spans="2:8" x14ac:dyDescent="0.25">
      <c r="F11" s="2"/>
      <c r="G11" s="2"/>
    </row>
    <row r="12" spans="2:8" x14ac:dyDescent="0.25">
      <c r="F12" s="2"/>
      <c r="G12" s="2"/>
    </row>
    <row r="13" spans="2:8" x14ac:dyDescent="0.25">
      <c r="F13" s="2"/>
      <c r="G13" s="2"/>
    </row>
    <row r="14" spans="2:8" x14ac:dyDescent="0.25">
      <c r="F14" s="2"/>
      <c r="G14" s="2"/>
    </row>
    <row r="15" spans="2:8" x14ac:dyDescent="0.25">
      <c r="F15" s="2"/>
      <c r="G15" s="2"/>
      <c r="H15" s="1"/>
    </row>
    <row r="16" spans="2:8" x14ac:dyDescent="0.25">
      <c r="F16" s="2"/>
      <c r="G16" s="2"/>
      <c r="H16" s="1"/>
    </row>
    <row r="17" spans="6:8" x14ac:dyDescent="0.25">
      <c r="F17" s="2"/>
      <c r="G17" s="2"/>
      <c r="H17" s="1"/>
    </row>
    <row r="18" spans="6:8" x14ac:dyDescent="0.25">
      <c r="F18" s="2"/>
      <c r="G18" s="2"/>
    </row>
    <row r="19" spans="6:8" x14ac:dyDescent="0.25">
      <c r="F19" s="2"/>
      <c r="G19" s="2"/>
    </row>
    <row r="20" spans="6:8" x14ac:dyDescent="0.25">
      <c r="F20" s="2"/>
      <c r="G20" s="2"/>
    </row>
    <row r="21" spans="6:8" x14ac:dyDescent="0.25">
      <c r="F21" s="2"/>
      <c r="G21" s="2"/>
    </row>
    <row r="22" spans="6:8" x14ac:dyDescent="0.25">
      <c r="F22" s="2"/>
      <c r="G22" s="2"/>
    </row>
    <row r="23" spans="6:8" x14ac:dyDescent="0.25">
      <c r="F23" s="2"/>
      <c r="G23" s="2"/>
    </row>
    <row r="24" spans="6:8" x14ac:dyDescent="0.25">
      <c r="F24" s="2"/>
      <c r="G24" s="2"/>
    </row>
    <row r="25" spans="6:8" x14ac:dyDescent="0.25">
      <c r="F25" s="2"/>
      <c r="G25" s="2"/>
    </row>
    <row r="26" spans="6:8" x14ac:dyDescent="0.25">
      <c r="F26" s="2"/>
      <c r="G26" s="2"/>
    </row>
    <row r="27" spans="6:8" x14ac:dyDescent="0.25">
      <c r="F27" s="2"/>
      <c r="G27" s="2"/>
    </row>
    <row r="28" spans="6:8" x14ac:dyDescent="0.25">
      <c r="F28" s="2"/>
      <c r="G28" s="2"/>
    </row>
    <row r="29" spans="6:8" x14ac:dyDescent="0.25">
      <c r="F29" s="2"/>
      <c r="G29" s="2"/>
    </row>
    <row r="30" spans="6:8" x14ac:dyDescent="0.25">
      <c r="F30" s="2"/>
      <c r="G30" s="2"/>
    </row>
    <row r="31" spans="6:8" x14ac:dyDescent="0.25">
      <c r="F31" s="2"/>
      <c r="G31" s="2"/>
    </row>
    <row r="32" spans="6:8" x14ac:dyDescent="0.25">
      <c r="F32" s="2"/>
      <c r="G32" s="2"/>
    </row>
    <row r="33" spans="6:7" x14ac:dyDescent="0.25">
      <c r="F33" s="2"/>
      <c r="G33" s="2"/>
    </row>
    <row r="34" spans="6:7" x14ac:dyDescent="0.25">
      <c r="F34" s="2"/>
      <c r="G34" s="2"/>
    </row>
    <row r="35" spans="6:7" x14ac:dyDescent="0.25">
      <c r="F35" s="2"/>
      <c r="G35" s="2"/>
    </row>
    <row r="36" spans="6:7" x14ac:dyDescent="0.25">
      <c r="F36" s="2"/>
      <c r="G36" s="2"/>
    </row>
    <row r="37" spans="6:7" x14ac:dyDescent="0.25">
      <c r="F37" s="2"/>
      <c r="G37" s="2"/>
    </row>
    <row r="38" spans="6:7" x14ac:dyDescent="0.25">
      <c r="F38" s="2"/>
      <c r="G38" s="2"/>
    </row>
    <row r="39" spans="6:7" x14ac:dyDescent="0.25">
      <c r="F39" s="2"/>
      <c r="G39" s="2"/>
    </row>
    <row r="40" spans="6:7" x14ac:dyDescent="0.25">
      <c r="F40" s="2"/>
      <c r="G40" s="2"/>
    </row>
    <row r="41" spans="6:7" x14ac:dyDescent="0.25">
      <c r="F41" s="2"/>
      <c r="G41" s="2"/>
    </row>
    <row r="42" spans="6:7" x14ac:dyDescent="0.25">
      <c r="F42" s="2"/>
      <c r="G42" s="2"/>
    </row>
    <row r="43" spans="6:7" x14ac:dyDescent="0.25">
      <c r="F43" s="2"/>
      <c r="G43" s="2"/>
    </row>
    <row r="44" spans="6:7" x14ac:dyDescent="0.25">
      <c r="F44" s="2"/>
      <c r="G44" s="2"/>
    </row>
    <row r="45" spans="6:7" x14ac:dyDescent="0.25">
      <c r="F45" s="2"/>
      <c r="G45" s="2"/>
    </row>
    <row r="46" spans="6:7" x14ac:dyDescent="0.25">
      <c r="F46" s="2"/>
      <c r="G46" s="2"/>
    </row>
    <row r="47" spans="6:7" x14ac:dyDescent="0.25">
      <c r="F47" s="2"/>
      <c r="G47" s="2"/>
    </row>
  </sheetData>
  <sortState xmlns:xlrd2="http://schemas.microsoft.com/office/spreadsheetml/2017/richdata2" ref="E2:N47">
    <sortCondition ref="G1:G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37F078683E84DA1BA8A4783657D90" ma:contentTypeVersion="3" ma:contentTypeDescription="Crée un document." ma:contentTypeScope="" ma:versionID="d52f3125e38971501d9a9a87f39753d5">
  <xsd:schema xmlns:xsd="http://www.w3.org/2001/XMLSchema" xmlns:xs="http://www.w3.org/2001/XMLSchema" xmlns:p="http://schemas.microsoft.com/office/2006/metadata/properties" xmlns:ns2="245a5b3d-d457-45e9-9a4d-1bf7bf078ec8" targetNamespace="http://schemas.microsoft.com/office/2006/metadata/properties" ma:root="true" ma:fieldsID="48747bd115b4c34839bef998afb4ee70" ns2:_="">
    <xsd:import namespace="245a5b3d-d457-45e9-9a4d-1bf7bf078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a5b3d-d457-45e9-9a4d-1bf7bf078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2476E3-E27E-40FE-B42C-E99AEFB62337}"/>
</file>

<file path=customXml/itemProps2.xml><?xml version="1.0" encoding="utf-8"?>
<ds:datastoreItem xmlns:ds="http://schemas.openxmlformats.org/officeDocument/2006/customXml" ds:itemID="{8CAAA1C5-5A5F-42C0-B24A-E46718D0DF69}"/>
</file>

<file path=customXml/itemProps3.xml><?xml version="1.0" encoding="utf-8"?>
<ds:datastoreItem xmlns:ds="http://schemas.openxmlformats.org/officeDocument/2006/customXml" ds:itemID="{AC7E0D54-3BBC-4168-A7D5-05BC48326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Feuil5</vt:lpstr>
      <vt:lpstr>Feuil8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Verley</dc:creator>
  <cp:lastModifiedBy>Antoine Verley</cp:lastModifiedBy>
  <dcterms:created xsi:type="dcterms:W3CDTF">2024-06-21T09:34:49Z</dcterms:created>
  <dcterms:modified xsi:type="dcterms:W3CDTF">2024-06-27T21:14:57Z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0x010100C9437F078683E84DA1BA8A4783657D90</vt:lpwstr>
  </property>
</Properties>
</file>